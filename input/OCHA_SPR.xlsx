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HQ-PublicServices-IMPACT-Education/Documents partages/IMPACT - Education/Education - shared folder/IM training/CCT2_2025/2._People_in_Need_2025/emails_and_material/"/>
    </mc:Choice>
  </mc:AlternateContent>
  <xr:revisionPtr revIDLastSave="533" documentId="8_{D63770E9-8D5C-4F2A-BD7D-98D3C6683B73}" xr6:coauthVersionLast="47" xr6:coauthVersionMax="47" xr10:uidLastSave="{E7144850-2053-4AD3-A1B8-D75F5A5E4C71}"/>
  <bookViews>
    <workbookView xWindow="-90" yWindow="-90" windowWidth="19380" windowHeight="11460" xr2:uid="{24D09A16-471A-4A7F-BD10-C475AB78837D}"/>
  </bookViews>
  <sheets>
    <sheet name="ocha" sheetId="1" r:id="rId1"/>
    <sheet name="scope-fix" sheetId="2" r:id="rId2"/>
  </sheets>
  <definedNames>
    <definedName name="_xlnm._FilterDatabase" localSheetId="0" hidden="1">ocha!$A$1:$M$110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  <c r="D31" i="1"/>
  <c r="D32" i="1"/>
  <c r="D33" i="1"/>
  <c r="D34" i="1"/>
  <c r="E31" i="1"/>
  <c r="E32" i="1"/>
  <c r="E33" i="1"/>
  <c r="E34" i="1"/>
  <c r="E30" i="1"/>
  <c r="D30" i="1"/>
  <c r="E28" i="1"/>
  <c r="E29" i="1"/>
  <c r="E27" i="1"/>
  <c r="D28" i="1"/>
  <c r="D29" i="1"/>
  <c r="D27" i="1"/>
  <c r="E23" i="1"/>
  <c r="E24" i="1"/>
  <c r="E25" i="1"/>
  <c r="E26" i="1"/>
  <c r="E22" i="1"/>
  <c r="D23" i="1"/>
  <c r="D24" i="1"/>
  <c r="D25" i="1"/>
  <c r="D26" i="1"/>
  <c r="D22" i="1"/>
  <c r="E16" i="1"/>
  <c r="E17" i="1"/>
  <c r="E18" i="1"/>
  <c r="E19" i="1"/>
  <c r="E20" i="1"/>
  <c r="E21" i="1"/>
  <c r="E15" i="1"/>
  <c r="D16" i="1"/>
  <c r="D17" i="1"/>
  <c r="D18" i="1"/>
  <c r="D19" i="1"/>
  <c r="D20" i="1"/>
  <c r="D21" i="1"/>
  <c r="D15" i="1"/>
  <c r="E9" i="1"/>
  <c r="E10" i="1"/>
  <c r="E11" i="1"/>
  <c r="E12" i="1"/>
  <c r="E13" i="1"/>
  <c r="E14" i="1"/>
  <c r="E8" i="1"/>
  <c r="D9" i="1"/>
  <c r="D10" i="1"/>
  <c r="D11" i="1"/>
  <c r="D12" i="1"/>
  <c r="D13" i="1"/>
  <c r="D14" i="1"/>
  <c r="D8" i="1"/>
  <c r="E3" i="1"/>
  <c r="E4" i="1"/>
  <c r="E5" i="1"/>
  <c r="E6" i="1"/>
  <c r="E7" i="1"/>
  <c r="E2" i="1"/>
  <c r="D3" i="1"/>
  <c r="D4" i="1"/>
  <c r="D5" i="1"/>
  <c r="D6" i="1"/>
  <c r="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A1" authorId="0" shapeId="0" xr:uid="{7F6959CD-F5AF-49BB-B2E1-00A689325F1E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The administrative level at which you want  calculate the PiN </t>
        </r>
      </text>
    </comment>
    <comment ref="C1" authorId="0" shapeId="0" xr:uid="{2D93E1E1-9C7D-4EEE-9009-4B104302F576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<sst xmlns="http://schemas.openxmlformats.org/spreadsheetml/2006/main" count="82" uniqueCount="82">
  <si>
    <t>Admin</t>
  </si>
  <si>
    <t>Admin Pcode</t>
  </si>
  <si>
    <t>IDP/PDI -- Children/Enfants (5-17)</t>
  </si>
  <si>
    <t>Returnees/Retournés -- Children/Enfants (5-17)</t>
  </si>
  <si>
    <t>Host/Hôte -- Children/Enfants (5-17)</t>
  </si>
  <si>
    <t>ToT -- Children/Enfants (5-17)</t>
  </si>
  <si>
    <t>ToT -- Girls/Filles (5-17)</t>
  </si>
  <si>
    <t>ToT -- Boys/Garcons (5-17)</t>
  </si>
  <si>
    <t>Refugees/Refugiees -- Children/Enfants (5-17)</t>
  </si>
  <si>
    <t>Other -- Children/Enfants (5-17)</t>
  </si>
  <si>
    <t>5yo -- Children/Enfants</t>
  </si>
  <si>
    <r>
      <t xml:space="preserve">Unique list of admin codes at </t>
    </r>
    <r>
      <rPr>
        <sz val="11"/>
        <color rgb="FFC00000"/>
        <rFont val="Aptos Narrow"/>
        <family val="2"/>
        <scheme val="minor"/>
      </rPr>
      <t>one or more levels above OCHA's unit of analysis that are representative in the MSNA and present in the MSNA data</t>
    </r>
    <r>
      <rPr>
        <sz val="11"/>
        <color theme="1"/>
        <rFont val="Aptos Narrow"/>
        <family val="2"/>
        <scheme val="minor"/>
      </rPr>
      <t xml:space="preserve">. ---- Liste unique de codes administratifs à un </t>
    </r>
    <r>
      <rPr>
        <sz val="11"/>
        <color rgb="FFC00000"/>
        <rFont val="Aptos Narrow"/>
        <family val="2"/>
        <scheme val="minor"/>
      </rPr>
      <t>ou plusieurs niveaux au-dessus de l'unité d'analyse d'OCHA qui sont représentatifs dans le MSNA et présents dans les données du MSNA</t>
    </r>
    <r>
      <rPr>
        <sz val="11"/>
        <color theme="1"/>
        <rFont val="Aptos Narrow"/>
        <family val="2"/>
        <scheme val="minor"/>
      </rPr>
      <t>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</si>
  <si>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not representative at the unit of analysis of the HNO</t>
    </r>
    <r>
      <rPr>
        <sz val="11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 xml:space="preserve">(e.g., if your analysis is conducted at admin 3, but in some admin 3 units the data is only representative at admin 2 -&gt; include these admin 3 units) </t>
    </r>
    <r>
      <rPr>
        <sz val="11"/>
        <rFont val="Aptos Narrow"/>
        <family val="2"/>
        <scheme val="minor"/>
      </rPr>
      <t>----</t>
    </r>
    <r>
      <rPr>
        <i/>
        <sz val="11"/>
        <rFont val="Aptos Narrow"/>
        <family val="2"/>
        <scheme val="minor"/>
      </rPr>
      <t xml:space="preserve"> Liste des codes admin où les données </t>
    </r>
    <r>
      <rPr>
        <b/>
        <i/>
        <sz val="11"/>
        <color rgb="FFFF0000"/>
        <rFont val="Aptos Narrow"/>
        <family val="2"/>
        <scheme val="minor"/>
      </rPr>
      <t>MSNA ne sont pas représentatives à l'unité d'analyse de la HNO</t>
    </r>
    <r>
      <rPr>
        <i/>
        <sz val="8"/>
        <rFont val="Aptos Narrow"/>
        <family val="2"/>
        <scheme val="minor"/>
      </rPr>
      <t xml:space="preserve"> (par exemple, si votre analyse est effectuée à l'admin 3, mais que dans certaines unités de l'admin 3 les données ne sont représentatives qu'à l'admin 2 -&gt; inclure ces unités de l'admin 3).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</si>
  <si>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representative at the unit of analysis of the HNO</t>
    </r>
    <r>
      <rPr>
        <sz val="11"/>
        <color rgb="FFFF0000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>(e.g. if your analysis is conducted at admin 3, include the list of admin/pcode where the data is representative at admin 3)</t>
    </r>
    <r>
      <rPr>
        <sz val="11"/>
        <rFont val="Aptos Narrow"/>
        <family val="2"/>
        <scheme val="minor"/>
      </rPr>
      <t xml:space="preserve"> ----  </t>
    </r>
    <r>
      <rPr>
        <i/>
        <sz val="11"/>
        <rFont val="Aptos Narrow"/>
        <family val="2"/>
        <scheme val="minor"/>
      </rPr>
      <t xml:space="preserve">Liste des codes admin où les données </t>
    </r>
    <r>
      <rPr>
        <b/>
        <i/>
        <sz val="11"/>
        <color rgb="FFFF0000"/>
        <rFont val="Aptos Narrow"/>
        <family val="2"/>
        <scheme val="minor"/>
      </rPr>
      <t>MSNA sont représentatives à l'unité d'analyse de l'HNO</t>
    </r>
    <r>
      <rPr>
        <i/>
        <sz val="8"/>
        <rFont val="Aptos Narrow"/>
        <family val="2"/>
        <scheme val="minor"/>
      </rPr>
      <t xml:space="preserve"> (par exemple, si votre analyse est effectuée à l'admin 3, incluez la liste des codes admin où les données sont représentatives à l'admin 3)</t>
    </r>
    <r>
      <rPr>
        <sz val="8"/>
        <rFont val="Aptos Narrow"/>
        <family val="2"/>
        <scheme val="minor"/>
      </rPr>
      <t xml:space="preserve"> </t>
    </r>
  </si>
  <si>
    <t>Do not remove the sheet. If there is no mismatch, the PiN calculation will use the admin list from the previous sheet, and the information in the 'scope-fix' sheet will not be used</t>
  </si>
  <si>
    <t>Ne supprimez pas la feuille. S'il n'y a pas de décalage, le calcul du PiN utilisera la liste des admins de la feuille précédente, et les informations de la feuille 'scope-fix' ne seront pas utilisées.</t>
  </si>
  <si>
    <t>SPR0510</t>
  </si>
  <si>
    <t>Hewe</t>
  </si>
  <si>
    <t>SPR0569</t>
  </si>
  <si>
    <t>Hogsfeet </t>
  </si>
  <si>
    <t>SPR0576</t>
  </si>
  <si>
    <t>Ilfracombe</t>
  </si>
  <si>
    <t>SPR0581</t>
  </si>
  <si>
    <t>Lingmell</t>
  </si>
  <si>
    <t>SPR0570</t>
  </si>
  <si>
    <t>Penzance</t>
  </si>
  <si>
    <t>SPR0588</t>
  </si>
  <si>
    <t>Peterborough</t>
  </si>
  <si>
    <t>SPR0564</t>
  </si>
  <si>
    <t>Wimborne</t>
  </si>
  <si>
    <t>SPR0538</t>
  </si>
  <si>
    <t>Wolfwater</t>
  </si>
  <si>
    <t>SPR0673</t>
  </si>
  <si>
    <t>Aria</t>
  </si>
  <si>
    <t>SPR0677</t>
  </si>
  <si>
    <t>Deathfall</t>
  </si>
  <si>
    <t>SPR0649</t>
  </si>
  <si>
    <t>Ferncombe</t>
  </si>
  <si>
    <t>SPR0627</t>
  </si>
  <si>
    <t>Glarnyraefon</t>
  </si>
  <si>
    <t>SPR0632</t>
  </si>
  <si>
    <t>Norton</t>
  </si>
  <si>
    <t>SPR0694</t>
  </si>
  <si>
    <t>Ozryn </t>
  </si>
  <si>
    <t>SPR0652</t>
  </si>
  <si>
    <t>Sherfield</t>
  </si>
  <si>
    <t>SPR0685</t>
  </si>
  <si>
    <t>Skegness</t>
  </si>
  <si>
    <t>SPR0382</t>
  </si>
  <si>
    <t>Auchendinny</t>
  </si>
  <si>
    <t>SPR0368</t>
  </si>
  <si>
    <t>Banrockburn</t>
  </si>
  <si>
    <t>SPR0326</t>
  </si>
  <si>
    <t>Blancathey</t>
  </si>
  <si>
    <t>SPR0372</t>
  </si>
  <si>
    <t>Caelfall </t>
  </si>
  <si>
    <t>SPR0329</t>
  </si>
  <si>
    <t>Cleethorpes</t>
  </si>
  <si>
    <t>SPR0386</t>
  </si>
  <si>
    <t>Colkirk</t>
  </si>
  <si>
    <t>SPR0354</t>
  </si>
  <si>
    <t>Coningsby</t>
  </si>
  <si>
    <t>SPR0359</t>
  </si>
  <si>
    <t>Dalhurst</t>
  </si>
  <si>
    <t>SPR0333</t>
  </si>
  <si>
    <t>Foolshope</t>
  </si>
  <si>
    <t>SPR0339</t>
  </si>
  <si>
    <t>Glanchester</t>
  </si>
  <si>
    <t>SPR0356</t>
  </si>
  <si>
    <t>Harthwaite</t>
  </si>
  <si>
    <t>SPR0367</t>
  </si>
  <si>
    <t>Penshaw</t>
  </si>
  <si>
    <t>SPR0389</t>
  </si>
  <si>
    <t>Perthlochry</t>
  </si>
  <si>
    <t>SPR0348</t>
  </si>
  <si>
    <t>Pitmerden</t>
  </si>
  <si>
    <t>SPR0393</t>
  </si>
  <si>
    <t>Swanford</t>
  </si>
  <si>
    <t>SPR0361</t>
  </si>
  <si>
    <t>Tarmsworth</t>
  </si>
  <si>
    <t>SPR0335</t>
  </si>
  <si>
    <t>Todmorden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</si>
</sst>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8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0" borderId="0"/>
    <xf numFmtId="0" fontId="17" fillId="9" borderId="2" applyNumberFormat="0" applyAlignment="0" applyProtection="0"/>
  </cellStyleXfs>
  <cellXfs count="22">
    <xf numFmtId="0" fontId="0" fillId="0" borderId="0" xfId="0"/>
    <xf numFmtId="0" fontId="0" fillId="0" borderId="1" xfId="0" applyBorder="1"/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9" borderId="2" xfId="2" applyFont="1"/>
    <xf numFmtId="0" fontId="1" fillId="0" borderId="0" xfId="0" applyFont="1"/>
    <xf numFmtId="1" fontId="0" fillId="7" borderId="1" xfId="0" applyNumberFormat="1" applyFill="1" applyBorder="1"/>
    <xf numFmtId="1" fontId="19" fillId="7" borderId="1" xfId="0" applyNumberFormat="1" applyFont="1" applyFill="1" applyBorder="1"/>
    <xf numFmtId="1" fontId="22" fillId="7" borderId="1" xfId="0" applyNumberFormat="1" applyFont="1" applyFill="1" applyBorder="1"/>
    <xf numFmtId="1" fontId="20" fillId="7" borderId="1" xfId="0" applyNumberFormat="1" applyFont="1" applyFill="1" applyBorder="1"/>
    <xf numFmtId="1" fontId="23" fillId="7" borderId="1" xfId="0" applyNumberFormat="1" applyFont="1" applyFill="1" applyBorder="1"/>
    <xf numFmtId="1" fontId="21" fillId="7" borderId="1" xfId="0" applyNumberFormat="1" applyFont="1" applyFill="1" applyBorder="1"/>
    <xf numFmtId="1" fontId="24" fillId="7" borderId="1" xfId="0" applyNumberFormat="1" applyFont="1" applyFill="1" applyBorder="1"/>
  </cellXfs>
  <cellStyles count="3">
    <cellStyle name="Input" xfId="2" builtinId="20"/>
    <cellStyle name="Normal" xfId="0" builtinId="0"/>
    <cellStyle name="Normal 4" xfId="1" xr:uid="{71695770-2CA8-438C-96D1-ED332816362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6C02-61B5-41C1-B66B-44B5B6878CC3}">
  <dimension ref="A1:M34"/>
  <sheetViews>
    <sheetView tabSelected="1" workbookViewId="0">
      <selection activeCell="K33" sqref="K33"/>
    </sheetView>
  </sheetViews>
  <sheetFormatPr defaultColWidth="17.40625" defaultRowHeight="14.75" x14ac:dyDescent="0.75"/>
  <cols>
    <col min="1" max="1" width="16.36328125" style="2" customWidth="1"/>
    <col min="2" max="2" width="14.953125" style="2" customWidth="1"/>
    <col min="3" max="6" width="11.26953125" style="2" customWidth="1"/>
    <col min="7" max="7" width="17.40625" style="2"/>
    <col min="8" max="16384" width="17.40625" style="1"/>
  </cols>
  <sheetData>
    <row r="1" spans="1:13" s="12" customFormat="1" ht="39.4" customHeight="1" x14ac:dyDescent="0.75">
      <c r="A1" s="3" t="s">
        <v>0</v>
      </c>
      <c r="B1" s="3" t="s">
        <v>1</v>
      </c>
      <c r="C1" s="4" t="s">
        <v>5</v>
      </c>
      <c r="D1" s="4" t="s">
        <v>6</v>
      </c>
      <c r="E1" s="4" t="s">
        <v>7</v>
      </c>
      <c r="F1" s="4" t="s">
        <v>10</v>
      </c>
      <c r="G1" s="4" t="s">
        <v>4</v>
      </c>
      <c r="H1" s="5" t="s">
        <v>2</v>
      </c>
      <c r="I1" s="6" t="s">
        <v>3</v>
      </c>
      <c r="J1" s="7" t="s">
        <v>8</v>
      </c>
      <c r="K1" s="8" t="s">
        <v>9</v>
      </c>
      <c r="L1" s="11"/>
      <c r="M1" s="11"/>
    </row>
    <row r="2" spans="1:13" x14ac:dyDescent="0.75">
      <c r="A2" s="16" t="s">
        <v>53</v>
      </c>
      <c r="B2" s="17" t="s">
        <v>52</v>
      </c>
      <c r="C2" s="2">
        <v>136133</v>
      </c>
      <c r="D2" s="15">
        <f t="shared" ref="D2:D7" si="0">C2*0.48</f>
        <v>65343.839999999997</v>
      </c>
      <c r="E2" s="15">
        <f t="shared" ref="E2:E7" si="1">C2*0.52</f>
        <v>70789.16</v>
      </c>
      <c r="F2" s="15">
        <f t="shared" ref="F2:F34" si="2">C2/13</f>
        <v>10471.76923076923</v>
      </c>
      <c r="G2" s="2">
        <v>78996</v>
      </c>
      <c r="H2">
        <v>26767</v>
      </c>
      <c r="I2" s="1">
        <v>28396</v>
      </c>
      <c r="K2" s="1">
        <v>1974</v>
      </c>
    </row>
    <row r="3" spans="1:13" x14ac:dyDescent="0.75">
      <c r="A3" s="16" t="s">
        <v>57</v>
      </c>
      <c r="B3" s="17" t="s">
        <v>56</v>
      </c>
      <c r="C3" s="2">
        <v>118442</v>
      </c>
      <c r="D3" s="15">
        <f t="shared" si="0"/>
        <v>56852.159999999996</v>
      </c>
      <c r="E3" s="15">
        <f t="shared" si="1"/>
        <v>61589.840000000004</v>
      </c>
      <c r="F3" s="15">
        <f t="shared" si="2"/>
        <v>9110.9230769230762</v>
      </c>
      <c r="G3" s="2">
        <v>10513</v>
      </c>
      <c r="H3">
        <v>67903</v>
      </c>
      <c r="I3" s="1">
        <v>28879</v>
      </c>
      <c r="K3" s="1">
        <v>11147</v>
      </c>
    </row>
    <row r="4" spans="1:13" x14ac:dyDescent="0.75">
      <c r="A4" s="16" t="s">
        <v>65</v>
      </c>
      <c r="B4" s="17" t="s">
        <v>64</v>
      </c>
      <c r="C4" s="2">
        <v>144310</v>
      </c>
      <c r="D4" s="15">
        <f t="shared" si="0"/>
        <v>69268.800000000003</v>
      </c>
      <c r="E4" s="15">
        <f t="shared" si="1"/>
        <v>75041.2</v>
      </c>
      <c r="F4" s="15">
        <f t="shared" si="2"/>
        <v>11100.76923076923</v>
      </c>
      <c r="G4" s="2">
        <v>66816</v>
      </c>
      <c r="H4">
        <v>52281</v>
      </c>
      <c r="I4" s="1">
        <v>24177</v>
      </c>
      <c r="K4" s="1">
        <v>1036</v>
      </c>
    </row>
    <row r="5" spans="1:13" x14ac:dyDescent="0.75">
      <c r="A5" s="16" t="s">
        <v>81</v>
      </c>
      <c r="B5" s="17" t="s">
        <v>80</v>
      </c>
      <c r="C5" s="2">
        <v>131176</v>
      </c>
      <c r="D5" s="15">
        <f t="shared" si="0"/>
        <v>62964.479999999996</v>
      </c>
      <c r="E5" s="15">
        <f t="shared" si="1"/>
        <v>68211.520000000004</v>
      </c>
      <c r="F5" s="15">
        <f t="shared" si="2"/>
        <v>10090.461538461539</v>
      </c>
      <c r="G5" s="2">
        <v>65594</v>
      </c>
      <c r="H5">
        <v>42758</v>
      </c>
      <c r="I5" s="1">
        <v>9110</v>
      </c>
      <c r="K5" s="1">
        <v>13714</v>
      </c>
    </row>
    <row r="6" spans="1:13" x14ac:dyDescent="0.75">
      <c r="A6" s="16" t="s">
        <v>67</v>
      </c>
      <c r="B6" s="17" t="s">
        <v>66</v>
      </c>
      <c r="C6" s="2">
        <v>129979</v>
      </c>
      <c r="D6" s="15">
        <f t="shared" si="0"/>
        <v>62389.919999999998</v>
      </c>
      <c r="E6" s="15">
        <f t="shared" si="1"/>
        <v>67589.08</v>
      </c>
      <c r="F6" s="15">
        <f t="shared" si="2"/>
        <v>9998.3846153846152</v>
      </c>
      <c r="G6" s="2">
        <v>105184</v>
      </c>
      <c r="H6">
        <v>11143</v>
      </c>
      <c r="I6" s="1">
        <v>2921</v>
      </c>
      <c r="K6" s="1">
        <v>10731</v>
      </c>
    </row>
    <row r="7" spans="1:13" x14ac:dyDescent="0.75">
      <c r="A7" s="16" t="s">
        <v>75</v>
      </c>
      <c r="B7" s="17" t="s">
        <v>74</v>
      </c>
      <c r="C7" s="2">
        <v>101679</v>
      </c>
      <c r="D7" s="15">
        <f t="shared" si="0"/>
        <v>48805.919999999998</v>
      </c>
      <c r="E7" s="15">
        <f t="shared" si="1"/>
        <v>52873.08</v>
      </c>
      <c r="F7" s="15">
        <f t="shared" si="2"/>
        <v>7821.4615384615381</v>
      </c>
      <c r="G7" s="2">
        <v>67314</v>
      </c>
      <c r="H7">
        <v>11141</v>
      </c>
      <c r="I7" s="1">
        <v>20463</v>
      </c>
      <c r="K7" s="1">
        <v>2761</v>
      </c>
    </row>
    <row r="8" spans="1:13" x14ac:dyDescent="0.75">
      <c r="A8" s="16" t="s">
        <v>61</v>
      </c>
      <c r="B8" s="17" t="s">
        <v>60</v>
      </c>
      <c r="C8" s="2">
        <v>116532</v>
      </c>
      <c r="D8" s="15">
        <f t="shared" ref="D8:D14" si="3">C8*0.46</f>
        <v>53604.72</v>
      </c>
      <c r="E8" s="15">
        <f t="shared" ref="E8:E14" si="4">C8*0.54</f>
        <v>62927.280000000006</v>
      </c>
      <c r="F8" s="15">
        <f t="shared" si="2"/>
        <v>8964</v>
      </c>
      <c r="G8" s="2">
        <v>99145</v>
      </c>
      <c r="H8">
        <v>4148</v>
      </c>
      <c r="I8" s="1">
        <v>13163</v>
      </c>
      <c r="K8" s="1">
        <v>76</v>
      </c>
    </row>
    <row r="9" spans="1:13" x14ac:dyDescent="0.75">
      <c r="A9" s="16" t="s">
        <v>69</v>
      </c>
      <c r="B9" s="17" t="s">
        <v>68</v>
      </c>
      <c r="C9" s="2">
        <v>141151</v>
      </c>
      <c r="D9" s="15">
        <f t="shared" si="3"/>
        <v>64929.460000000006</v>
      </c>
      <c r="E9" s="15">
        <f t="shared" si="4"/>
        <v>76221.540000000008</v>
      </c>
      <c r="F9" s="15">
        <f t="shared" si="2"/>
        <v>10857.76923076923</v>
      </c>
      <c r="G9" s="2">
        <v>64305</v>
      </c>
      <c r="H9">
        <v>61865</v>
      </c>
      <c r="I9" s="1">
        <v>3649</v>
      </c>
      <c r="K9" s="1">
        <v>11332</v>
      </c>
    </row>
    <row r="10" spans="1:13" x14ac:dyDescent="0.75">
      <c r="A10" s="16" t="s">
        <v>63</v>
      </c>
      <c r="B10" s="17" t="s">
        <v>62</v>
      </c>
      <c r="C10" s="2">
        <v>133882</v>
      </c>
      <c r="D10" s="15">
        <f t="shared" si="3"/>
        <v>61585.72</v>
      </c>
      <c r="E10" s="15">
        <f t="shared" si="4"/>
        <v>72296.28</v>
      </c>
      <c r="F10" s="15">
        <f t="shared" si="2"/>
        <v>10298.615384615385</v>
      </c>
      <c r="G10" s="2">
        <v>66318</v>
      </c>
      <c r="H10">
        <v>42933</v>
      </c>
      <c r="I10" s="1">
        <v>14809</v>
      </c>
      <c r="K10" s="1">
        <v>9822</v>
      </c>
    </row>
    <row r="11" spans="1:13" x14ac:dyDescent="0.75">
      <c r="A11" s="16" t="s">
        <v>79</v>
      </c>
      <c r="B11" s="17" t="s">
        <v>78</v>
      </c>
      <c r="C11" s="2">
        <v>119030</v>
      </c>
      <c r="D11" s="15">
        <f t="shared" si="3"/>
        <v>54753.8</v>
      </c>
      <c r="E11" s="15">
        <f t="shared" si="4"/>
        <v>64276.200000000004</v>
      </c>
      <c r="F11" s="15">
        <f t="shared" si="2"/>
        <v>9156.1538461538457</v>
      </c>
      <c r="G11" s="2">
        <v>57300</v>
      </c>
      <c r="H11">
        <v>50572</v>
      </c>
      <c r="I11" s="1">
        <v>1028</v>
      </c>
      <c r="K11" s="1">
        <v>10130</v>
      </c>
    </row>
    <row r="12" spans="1:13" x14ac:dyDescent="0.75">
      <c r="A12" s="16" t="s">
        <v>71</v>
      </c>
      <c r="B12" s="17" t="s">
        <v>70</v>
      </c>
      <c r="C12" s="2">
        <v>126605</v>
      </c>
      <c r="D12" s="15">
        <f t="shared" si="3"/>
        <v>58238.3</v>
      </c>
      <c r="E12" s="15">
        <f t="shared" si="4"/>
        <v>68366.700000000012</v>
      </c>
      <c r="F12" s="15">
        <f t="shared" si="2"/>
        <v>9738.8461538461543</v>
      </c>
      <c r="G12" s="2">
        <v>87222</v>
      </c>
      <c r="H12">
        <v>1470</v>
      </c>
      <c r="I12" s="1">
        <v>27195</v>
      </c>
      <c r="K12" s="1">
        <v>10718</v>
      </c>
    </row>
    <row r="13" spans="1:13" x14ac:dyDescent="0.75">
      <c r="A13" s="16" t="s">
        <v>51</v>
      </c>
      <c r="B13" s="17" t="s">
        <v>50</v>
      </c>
      <c r="C13" s="2">
        <v>109386</v>
      </c>
      <c r="D13" s="15">
        <f t="shared" si="3"/>
        <v>50317.560000000005</v>
      </c>
      <c r="E13" s="15">
        <f t="shared" si="4"/>
        <v>59068.44</v>
      </c>
      <c r="F13" s="15">
        <f t="shared" si="2"/>
        <v>8414.3076923076915</v>
      </c>
      <c r="G13" s="2">
        <v>31345</v>
      </c>
      <c r="H13">
        <v>69274</v>
      </c>
      <c r="I13" s="1">
        <v>7739</v>
      </c>
      <c r="K13" s="1">
        <v>1028</v>
      </c>
    </row>
    <row r="14" spans="1:13" x14ac:dyDescent="0.75">
      <c r="A14" s="16" t="s">
        <v>55</v>
      </c>
      <c r="B14" s="17" t="s">
        <v>54</v>
      </c>
      <c r="C14" s="2">
        <v>116063</v>
      </c>
      <c r="D14" s="15">
        <f t="shared" si="3"/>
        <v>53388.98</v>
      </c>
      <c r="E14" s="15">
        <f t="shared" si="4"/>
        <v>62674.020000000004</v>
      </c>
      <c r="F14" s="15">
        <f t="shared" si="2"/>
        <v>8927.9230769230762</v>
      </c>
      <c r="G14" s="2">
        <v>31813</v>
      </c>
      <c r="H14">
        <v>59455</v>
      </c>
      <c r="I14" s="1">
        <v>19814</v>
      </c>
      <c r="K14" s="1">
        <v>4981</v>
      </c>
    </row>
    <row r="15" spans="1:13" x14ac:dyDescent="0.75">
      <c r="A15" s="16" t="s">
        <v>49</v>
      </c>
      <c r="B15" s="17" t="s">
        <v>48</v>
      </c>
      <c r="C15" s="2">
        <v>122251</v>
      </c>
      <c r="D15" s="15">
        <f t="shared" ref="D15:D21" si="5">C15*0.52</f>
        <v>63570.520000000004</v>
      </c>
      <c r="E15" s="15">
        <f t="shared" ref="E15:E21" si="6">C15*0.48</f>
        <v>58680.479999999996</v>
      </c>
      <c r="F15" s="15">
        <f t="shared" si="2"/>
        <v>9403.9230769230762</v>
      </c>
      <c r="G15" s="2">
        <v>96154</v>
      </c>
      <c r="H15">
        <v>15165</v>
      </c>
      <c r="I15" s="1">
        <v>9322</v>
      </c>
      <c r="K15" s="1">
        <v>1610</v>
      </c>
    </row>
    <row r="16" spans="1:13" x14ac:dyDescent="0.75">
      <c r="A16" s="16" t="s">
        <v>59</v>
      </c>
      <c r="B16" s="17" t="s">
        <v>58</v>
      </c>
      <c r="C16" s="2">
        <v>112538</v>
      </c>
      <c r="D16" s="15">
        <f t="shared" si="5"/>
        <v>58519.76</v>
      </c>
      <c r="E16" s="15">
        <f t="shared" si="6"/>
        <v>54018.239999999998</v>
      </c>
      <c r="F16" s="15">
        <f t="shared" si="2"/>
        <v>8656.7692307692305</v>
      </c>
      <c r="G16" s="2">
        <v>72005</v>
      </c>
      <c r="H16">
        <v>12986</v>
      </c>
      <c r="I16" s="1">
        <v>15553</v>
      </c>
      <c r="K16" s="1">
        <v>11994</v>
      </c>
    </row>
    <row r="17" spans="1:11" x14ac:dyDescent="0.75">
      <c r="A17" s="16" t="s">
        <v>73</v>
      </c>
      <c r="B17" s="17" t="s">
        <v>72</v>
      </c>
      <c r="C17" s="2">
        <v>125182</v>
      </c>
      <c r="D17" s="15">
        <f t="shared" si="5"/>
        <v>65094.64</v>
      </c>
      <c r="E17" s="15">
        <f t="shared" si="6"/>
        <v>60087.360000000001</v>
      </c>
      <c r="F17" s="15">
        <f t="shared" si="2"/>
        <v>9629.3846153846152</v>
      </c>
      <c r="G17" s="2">
        <v>87072</v>
      </c>
      <c r="H17">
        <v>13099</v>
      </c>
      <c r="I17" s="1">
        <v>16350</v>
      </c>
      <c r="K17" s="1">
        <v>8661</v>
      </c>
    </row>
    <row r="18" spans="1:11" x14ac:dyDescent="0.75">
      <c r="A18" s="16" t="s">
        <v>77</v>
      </c>
      <c r="B18" s="17" t="s">
        <v>76</v>
      </c>
      <c r="C18" s="2">
        <v>137290</v>
      </c>
      <c r="D18" s="15">
        <f t="shared" si="5"/>
        <v>71390.8</v>
      </c>
      <c r="E18" s="15">
        <f t="shared" si="6"/>
        <v>65899.199999999997</v>
      </c>
      <c r="F18" s="15">
        <f t="shared" si="2"/>
        <v>10560.76923076923</v>
      </c>
      <c r="G18" s="2">
        <v>105435</v>
      </c>
      <c r="H18">
        <v>21729</v>
      </c>
      <c r="I18" s="1">
        <v>5528</v>
      </c>
      <c r="K18" s="1">
        <v>4598</v>
      </c>
    </row>
    <row r="19" spans="1:11" x14ac:dyDescent="0.75">
      <c r="A19" s="18" t="s">
        <v>17</v>
      </c>
      <c r="B19" s="19" t="s">
        <v>16</v>
      </c>
      <c r="C19" s="2">
        <v>85357</v>
      </c>
      <c r="D19" s="15">
        <f t="shared" si="5"/>
        <v>44385.64</v>
      </c>
      <c r="E19" s="15">
        <f t="shared" si="6"/>
        <v>40971.360000000001</v>
      </c>
      <c r="F19" s="15">
        <f t="shared" si="2"/>
        <v>6565.9230769230771</v>
      </c>
      <c r="G19" s="2">
        <v>17998</v>
      </c>
      <c r="H19">
        <v>37479</v>
      </c>
      <c r="I19" s="1">
        <v>28997</v>
      </c>
      <c r="K19" s="1">
        <v>883</v>
      </c>
    </row>
    <row r="20" spans="1:11" x14ac:dyDescent="0.75">
      <c r="A20" s="18" t="s">
        <v>31</v>
      </c>
      <c r="B20" s="19" t="s">
        <v>30</v>
      </c>
      <c r="C20" s="2">
        <v>175319</v>
      </c>
      <c r="D20" s="15">
        <f t="shared" si="5"/>
        <v>91165.88</v>
      </c>
      <c r="E20" s="15">
        <f t="shared" si="6"/>
        <v>84153.12</v>
      </c>
      <c r="F20" s="15">
        <f t="shared" si="2"/>
        <v>13486.076923076924</v>
      </c>
      <c r="G20" s="2">
        <v>116966</v>
      </c>
      <c r="H20">
        <v>30850</v>
      </c>
      <c r="I20" s="1">
        <v>23182</v>
      </c>
      <c r="K20" s="1">
        <v>4321</v>
      </c>
    </row>
    <row r="21" spans="1:11" x14ac:dyDescent="0.75">
      <c r="A21" s="18" t="s">
        <v>29</v>
      </c>
      <c r="B21" s="19" t="s">
        <v>28</v>
      </c>
      <c r="C21" s="2">
        <v>218268</v>
      </c>
      <c r="D21" s="15">
        <f t="shared" si="5"/>
        <v>113499.36</v>
      </c>
      <c r="E21" s="15">
        <f t="shared" si="6"/>
        <v>104768.64</v>
      </c>
      <c r="F21" s="15">
        <f t="shared" si="2"/>
        <v>16789.846153846152</v>
      </c>
      <c r="G21" s="2">
        <v>164852</v>
      </c>
      <c r="H21">
        <v>20800</v>
      </c>
      <c r="I21" s="1">
        <v>28098</v>
      </c>
      <c r="K21" s="1">
        <v>4518</v>
      </c>
    </row>
    <row r="22" spans="1:11" x14ac:dyDescent="0.75">
      <c r="A22" s="18" t="s">
        <v>19</v>
      </c>
      <c r="B22" s="19" t="s">
        <v>18</v>
      </c>
      <c r="C22" s="2">
        <v>97332</v>
      </c>
      <c r="D22" s="15">
        <f>C22*0.51</f>
        <v>49639.32</v>
      </c>
      <c r="E22" s="15">
        <f>C22*0.49</f>
        <v>47692.68</v>
      </c>
      <c r="F22" s="15">
        <f t="shared" si="2"/>
        <v>7487.0769230769229</v>
      </c>
      <c r="G22" s="2">
        <v>16731</v>
      </c>
      <c r="H22">
        <v>43700</v>
      </c>
      <c r="I22" s="1">
        <v>26762</v>
      </c>
      <c r="K22" s="1">
        <v>10139</v>
      </c>
    </row>
    <row r="23" spans="1:11" x14ac:dyDescent="0.75">
      <c r="A23" s="18" t="s">
        <v>25</v>
      </c>
      <c r="B23" s="19" t="s">
        <v>24</v>
      </c>
      <c r="C23" s="2">
        <v>144130</v>
      </c>
      <c r="D23" s="15">
        <f>C23*0.51</f>
        <v>73506.3</v>
      </c>
      <c r="E23" s="15">
        <f>C23*0.49</f>
        <v>70623.7</v>
      </c>
      <c r="F23" s="15">
        <f t="shared" si="2"/>
        <v>11086.923076923076</v>
      </c>
      <c r="G23" s="2">
        <v>107427</v>
      </c>
      <c r="H23">
        <v>9963</v>
      </c>
      <c r="I23" s="1">
        <v>17881</v>
      </c>
      <c r="K23" s="1">
        <v>8859</v>
      </c>
    </row>
    <row r="24" spans="1:11" x14ac:dyDescent="0.75">
      <c r="A24" s="18" t="s">
        <v>21</v>
      </c>
      <c r="B24" s="19" t="s">
        <v>20</v>
      </c>
      <c r="C24" s="2">
        <v>188533</v>
      </c>
      <c r="D24" s="15">
        <f>C24*0.51</f>
        <v>96151.83</v>
      </c>
      <c r="E24" s="15">
        <f>C24*0.49</f>
        <v>92381.17</v>
      </c>
      <c r="F24" s="15">
        <f t="shared" si="2"/>
        <v>14502.538461538461</v>
      </c>
      <c r="G24" s="2">
        <v>127768</v>
      </c>
      <c r="H24">
        <v>20865</v>
      </c>
      <c r="I24" s="1">
        <v>27571</v>
      </c>
      <c r="K24" s="1">
        <v>12329</v>
      </c>
    </row>
    <row r="25" spans="1:11" x14ac:dyDescent="0.75">
      <c r="A25" s="18" t="s">
        <v>23</v>
      </c>
      <c r="B25" s="19" t="s">
        <v>22</v>
      </c>
      <c r="C25" s="2">
        <v>96206</v>
      </c>
      <c r="D25" s="15">
        <f>C25*0.51</f>
        <v>49065.06</v>
      </c>
      <c r="E25" s="15">
        <f>C25*0.49</f>
        <v>47140.94</v>
      </c>
      <c r="F25" s="15">
        <f t="shared" si="2"/>
        <v>7400.4615384615381</v>
      </c>
      <c r="G25" s="2">
        <v>60832</v>
      </c>
      <c r="H25">
        <v>26166</v>
      </c>
      <c r="I25" s="1">
        <v>2646</v>
      </c>
      <c r="K25" s="1">
        <v>6562</v>
      </c>
    </row>
    <row r="26" spans="1:11" x14ac:dyDescent="0.75">
      <c r="A26" s="18" t="s">
        <v>27</v>
      </c>
      <c r="B26" s="19" t="s">
        <v>26</v>
      </c>
      <c r="C26" s="2">
        <v>308317</v>
      </c>
      <c r="D26" s="15">
        <f>C26*0.51</f>
        <v>157241.67000000001</v>
      </c>
      <c r="E26" s="15">
        <f>C26*0.49</f>
        <v>151075.32999999999</v>
      </c>
      <c r="F26" s="15">
        <f t="shared" si="2"/>
        <v>23716.692307692309</v>
      </c>
      <c r="G26" s="2">
        <v>268221</v>
      </c>
      <c r="H26">
        <v>32574</v>
      </c>
      <c r="I26" s="1">
        <v>5861</v>
      </c>
      <c r="K26" s="1">
        <v>1661</v>
      </c>
    </row>
    <row r="27" spans="1:11" x14ac:dyDescent="0.75">
      <c r="A27" s="20" t="s">
        <v>39</v>
      </c>
      <c r="B27" s="21" t="s">
        <v>38</v>
      </c>
      <c r="C27" s="2">
        <v>144734</v>
      </c>
      <c r="D27" s="15">
        <f>C27*0.55</f>
        <v>79603.700000000012</v>
      </c>
      <c r="E27" s="15">
        <f>C27*0.45</f>
        <v>65130.3</v>
      </c>
      <c r="F27" s="15">
        <f t="shared" si="2"/>
        <v>11133.384615384615</v>
      </c>
      <c r="G27" s="2">
        <v>77392</v>
      </c>
      <c r="H27">
        <v>56079</v>
      </c>
      <c r="I27" s="1">
        <v>1352</v>
      </c>
      <c r="K27" s="1">
        <v>9911</v>
      </c>
    </row>
    <row r="28" spans="1:11" x14ac:dyDescent="0.75">
      <c r="A28" s="20" t="s">
        <v>41</v>
      </c>
      <c r="B28" s="21" t="s">
        <v>40</v>
      </c>
      <c r="C28" s="2">
        <v>131420</v>
      </c>
      <c r="D28" s="15">
        <f>C28*0.55</f>
        <v>72281</v>
      </c>
      <c r="E28" s="15">
        <f>C28*0.45</f>
        <v>59139</v>
      </c>
      <c r="F28" s="15">
        <f t="shared" si="2"/>
        <v>10109.23076923077</v>
      </c>
      <c r="G28" s="2">
        <v>96858</v>
      </c>
      <c r="H28">
        <v>14261</v>
      </c>
      <c r="I28" s="1">
        <v>9729</v>
      </c>
      <c r="K28" s="1">
        <v>10572</v>
      </c>
    </row>
    <row r="29" spans="1:11" x14ac:dyDescent="0.75">
      <c r="A29" s="20" t="s">
        <v>37</v>
      </c>
      <c r="B29" s="21" t="s">
        <v>36</v>
      </c>
      <c r="C29" s="2">
        <v>119965</v>
      </c>
      <c r="D29" s="15">
        <f>C29*0.55</f>
        <v>65980.75</v>
      </c>
      <c r="E29" s="15">
        <f>C29*0.45</f>
        <v>53984.25</v>
      </c>
      <c r="F29" s="15">
        <f t="shared" si="2"/>
        <v>9228.0769230769238</v>
      </c>
      <c r="G29" s="2">
        <v>63814</v>
      </c>
      <c r="H29">
        <v>36728</v>
      </c>
      <c r="I29" s="1">
        <v>11624</v>
      </c>
      <c r="K29" s="1">
        <v>7799</v>
      </c>
    </row>
    <row r="30" spans="1:11" x14ac:dyDescent="0.75">
      <c r="A30" s="20" t="s">
        <v>45</v>
      </c>
      <c r="B30" s="21" t="s">
        <v>44</v>
      </c>
      <c r="C30" s="2">
        <v>136290</v>
      </c>
      <c r="D30" s="15">
        <f>C30*0.5</f>
        <v>68145</v>
      </c>
      <c r="E30" s="15">
        <f>C30*0.5</f>
        <v>68145</v>
      </c>
      <c r="F30" s="15">
        <f t="shared" si="2"/>
        <v>10483.846153846154</v>
      </c>
      <c r="G30" s="2">
        <v>75150</v>
      </c>
      <c r="H30">
        <v>42312</v>
      </c>
      <c r="I30" s="1">
        <v>8115</v>
      </c>
      <c r="K30" s="1">
        <v>10713</v>
      </c>
    </row>
    <row r="31" spans="1:11" x14ac:dyDescent="0.75">
      <c r="A31" s="20" t="s">
        <v>33</v>
      </c>
      <c r="B31" s="21" t="s">
        <v>32</v>
      </c>
      <c r="C31" s="2">
        <v>141512</v>
      </c>
      <c r="D31" s="15">
        <f>C31*0.5</f>
        <v>70756</v>
      </c>
      <c r="E31" s="15">
        <f>C31*0.5</f>
        <v>70756</v>
      </c>
      <c r="F31" s="15">
        <f t="shared" si="2"/>
        <v>10885.538461538461</v>
      </c>
      <c r="G31" s="2">
        <v>106548</v>
      </c>
      <c r="H31">
        <v>3317</v>
      </c>
      <c r="I31" s="1">
        <v>24785</v>
      </c>
      <c r="K31" s="1">
        <v>6862</v>
      </c>
    </row>
    <row r="32" spans="1:11" x14ac:dyDescent="0.75">
      <c r="A32" s="20" t="s">
        <v>35</v>
      </c>
      <c r="B32" s="21" t="s">
        <v>34</v>
      </c>
      <c r="C32" s="2">
        <v>122513</v>
      </c>
      <c r="D32" s="15">
        <f>C32*0.5</f>
        <v>61256.5</v>
      </c>
      <c r="E32" s="15">
        <f>C32*0.5</f>
        <v>61256.5</v>
      </c>
      <c r="F32" s="15">
        <f t="shared" si="2"/>
        <v>9424.0769230769238</v>
      </c>
      <c r="G32" s="2">
        <v>61188</v>
      </c>
      <c r="H32">
        <v>43392</v>
      </c>
      <c r="I32" s="1">
        <v>10669</v>
      </c>
      <c r="K32" s="1">
        <v>7264</v>
      </c>
    </row>
    <row r="33" spans="1:11" x14ac:dyDescent="0.75">
      <c r="A33" s="20" t="s">
        <v>47</v>
      </c>
      <c r="B33" s="21" t="s">
        <v>46</v>
      </c>
      <c r="C33" s="2">
        <v>139846</v>
      </c>
      <c r="D33" s="15">
        <f>C33*0.5</f>
        <v>69923</v>
      </c>
      <c r="E33" s="15">
        <f>C33*0.5</f>
        <v>69923</v>
      </c>
      <c r="F33" s="15">
        <f t="shared" si="2"/>
        <v>10757.384615384615</v>
      </c>
      <c r="G33" s="2">
        <v>113324</v>
      </c>
      <c r="H33">
        <v>12179</v>
      </c>
      <c r="I33" s="1">
        <v>8402</v>
      </c>
      <c r="K33" s="1">
        <v>5941</v>
      </c>
    </row>
    <row r="34" spans="1:11" x14ac:dyDescent="0.75">
      <c r="A34" s="20" t="s">
        <v>43</v>
      </c>
      <c r="B34" s="21" t="s">
        <v>42</v>
      </c>
      <c r="C34" s="2">
        <v>128629</v>
      </c>
      <c r="D34" s="15">
        <f>C34*0.5</f>
        <v>64314.5</v>
      </c>
      <c r="E34" s="15">
        <f>C34*0.5</f>
        <v>64314.5</v>
      </c>
      <c r="F34" s="15">
        <f t="shared" si="2"/>
        <v>9894.538461538461</v>
      </c>
      <c r="G34" s="2">
        <v>107400</v>
      </c>
      <c r="H34">
        <v>4646</v>
      </c>
      <c r="I34" s="1">
        <v>16230</v>
      </c>
      <c r="K34" s="1">
        <v>353</v>
      </c>
    </row>
  </sheetData>
  <protectedRanges>
    <protectedRange sqref="K2:K34 I2:I90 J35:K90" name="pop value"/>
  </protectedRanges>
  <autoFilter ref="A1:M110" xr:uid="{7DA56C02-61B5-41C1-B66B-44B5B6878CC3}"/>
  <sortState xmlns:xlrd2="http://schemas.microsoft.com/office/spreadsheetml/2017/richdata2" ref="A2:K141">
    <sortCondition ref="B1:B141"/>
  </sortState>
  <conditionalFormatting sqref="A2:A34">
    <cfRule type="duplicateValues" dxfId="5" priority="26"/>
  </conditionalFormatting>
  <conditionalFormatting sqref="A31">
    <cfRule type="duplicateValues" dxfId="4" priority="5"/>
  </conditionalFormatting>
  <conditionalFormatting sqref="A32">
    <cfRule type="duplicateValues" dxfId="3" priority="2"/>
    <cfRule type="duplicateValues" dxfId="2" priority="3"/>
  </conditionalFormatting>
  <conditionalFormatting sqref="A33:A34 A2:A30">
    <cfRule type="duplicateValues" dxfId="1" priority="22"/>
  </conditionalFormatting>
  <conditionalFormatting sqref="A33:A34 A2:A31">
    <cfRule type="duplicateValues" dxfId="0" priority="24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4D79-A7A6-48C8-8509-FD3F2A049ECB}">
  <dimension ref="A1:D9"/>
  <sheetViews>
    <sheetView workbookViewId="0">
      <selection activeCell="A14" sqref="A14"/>
    </sheetView>
  </sheetViews>
  <sheetFormatPr defaultRowHeight="14.75" x14ac:dyDescent="0.75"/>
  <cols>
    <col min="1" max="1" width="57.40625" customWidth="1"/>
    <col min="2" max="3" width="50.1328125" customWidth="1"/>
    <col min="4" max="4" width="15.54296875" customWidth="1"/>
  </cols>
  <sheetData>
    <row r="1" spans="1:4" ht="106.75" x14ac:dyDescent="0.75">
      <c r="A1" s="9" t="s">
        <v>13</v>
      </c>
      <c r="B1" s="9" t="s">
        <v>12</v>
      </c>
      <c r="C1" s="10" t="s">
        <v>11</v>
      </c>
    </row>
    <row r="2" spans="1:4" x14ac:dyDescent="0.75">
      <c r="B2" s="14"/>
      <c r="C2" s="14"/>
      <c r="D2" s="14"/>
    </row>
    <row r="3" spans="1:4" x14ac:dyDescent="0.75">
      <c r="B3" s="14"/>
      <c r="C3" s="14"/>
      <c r="D3" s="14"/>
    </row>
    <row r="8" spans="1:4" x14ac:dyDescent="0.75">
      <c r="A8" s="13" t="s">
        <v>14</v>
      </c>
      <c r="B8" s="13"/>
      <c r="C8" s="13"/>
    </row>
    <row r="9" spans="1:4" x14ac:dyDescent="0.75">
      <c r="A9" s="13" t="s">
        <v>15</v>
      </c>
      <c r="B9" s="13"/>
      <c r="C9" s="1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3" ma:contentTypeDescription="Crée un document." ma:contentTypeScope="" ma:versionID="18b65644adfd44ef380fc8c009cd5516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0910c901953bbd0619f0c346d703c45d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EDB9B-AC34-4FE9-9317-856E4EE16A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113C8C-10AB-4FA6-9CF9-398BB1E70976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3.xml><?xml version="1.0" encoding="utf-8"?>
<ds:datastoreItem xmlns:ds="http://schemas.openxmlformats.org/officeDocument/2006/customXml" ds:itemID="{84F1F53F-33F8-4999-8FA9-7B9F36218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ocha</vt:lpstr>
      <vt:lpstr>scope-fix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2024-07-16T12:05:48Z</dcterms:created>
  <dcterms:modified xsi:type="dcterms:W3CDTF">2025-03-28T14:20:26Z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  <property fmtid="{D5CDD505-2E9C-101B-9397-08002B2CF9AE}" pid="3" name="MediaServiceImageTags">
    <vt:lpwstr/>
  </property>
</Properties>
</file>