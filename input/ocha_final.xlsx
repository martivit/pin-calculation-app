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HQ-PublicServices-IMPACT-Education/Documents partages/IMPACT - Education/Education - shared folder/PiN/PiN methodology studies 2025/new_dataset_testing/input_pin2025/"/>
    </mc:Choice>
  </mc:AlternateContent>
  <xr:revisionPtr revIDLastSave="40" documentId="8_{086AC029-0DB3-4302-88DD-54428C2B738C}" xr6:coauthVersionLast="47" xr6:coauthVersionMax="47" xr10:uidLastSave="{D58C92A9-16AE-4AEC-BBFF-BF53673865F6}"/>
  <bookViews>
    <workbookView xWindow="-40" yWindow="-40" windowWidth="19280" windowHeight="10640" xr2:uid="{24D09A16-471A-4A7F-BD10-C475AB78837D}"/>
  </bookViews>
  <sheets>
    <sheet name="ocha" sheetId="1" r:id="rId1"/>
    <sheet name="scope-fi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F34" i="1" s="1"/>
  <c r="C35" i="1"/>
  <c r="F35" i="1" s="1"/>
  <c r="C36" i="1"/>
  <c r="F36" i="1" s="1"/>
  <c r="C37" i="1"/>
  <c r="F37" i="1" s="1"/>
  <c r="C33" i="1"/>
  <c r="F33" i="1" s="1"/>
  <c r="C28" i="1"/>
  <c r="F28" i="1" s="1"/>
  <c r="C29" i="1"/>
  <c r="F29" i="1" s="1"/>
  <c r="C30" i="1"/>
  <c r="F30" i="1" s="1"/>
  <c r="C31" i="1"/>
  <c r="F31" i="1" s="1"/>
  <c r="C32" i="1"/>
  <c r="F32" i="1" s="1"/>
  <c r="C38" i="1"/>
  <c r="F38" i="1" s="1"/>
  <c r="C39" i="1"/>
  <c r="F39" i="1" s="1"/>
  <c r="C40" i="1"/>
  <c r="F40" i="1" s="1"/>
  <c r="C42" i="1"/>
  <c r="F42" i="1" s="1"/>
  <c r="C43" i="1"/>
  <c r="F43" i="1" s="1"/>
  <c r="C44" i="1"/>
  <c r="F44" i="1" s="1"/>
  <c r="C41" i="1"/>
  <c r="F41" i="1" s="1"/>
  <c r="C60" i="1"/>
  <c r="F60" i="1" s="1"/>
  <c r="C61" i="1"/>
  <c r="F61" i="1" s="1"/>
  <c r="C62" i="1"/>
  <c r="F62" i="1" s="1"/>
  <c r="C63" i="1"/>
  <c r="F63" i="1" s="1"/>
  <c r="C59" i="1"/>
  <c r="F59" i="1" s="1"/>
  <c r="C64" i="1"/>
  <c r="F64" i="1" s="1"/>
  <c r="C66" i="1"/>
  <c r="F66" i="1" s="1"/>
  <c r="C67" i="1"/>
  <c r="F67" i="1" s="1"/>
  <c r="C68" i="1"/>
  <c r="F68" i="1" s="1"/>
  <c r="C65" i="1"/>
  <c r="F65" i="1" s="1"/>
  <c r="C21" i="1"/>
  <c r="F21" i="1" s="1"/>
  <c r="C20" i="1"/>
  <c r="F20" i="1" s="1"/>
  <c r="C22" i="1"/>
  <c r="F22" i="1" s="1"/>
  <c r="C23" i="1"/>
  <c r="F23" i="1" s="1"/>
  <c r="C24" i="1"/>
  <c r="F24" i="1" s="1"/>
  <c r="C26" i="1"/>
  <c r="F26" i="1" s="1"/>
  <c r="C27" i="1"/>
  <c r="F27" i="1" s="1"/>
  <c r="C25" i="1"/>
  <c r="F25" i="1" s="1"/>
  <c r="C3" i="1"/>
  <c r="F3" i="1" s="1"/>
  <c r="C2" i="1"/>
  <c r="F2" i="1" s="1"/>
  <c r="C4" i="1"/>
  <c r="F4" i="1" s="1"/>
  <c r="C5" i="1"/>
  <c r="F5" i="1" s="1"/>
  <c r="C18" i="1"/>
  <c r="F18" i="1" s="1"/>
  <c r="C17" i="1"/>
  <c r="F17" i="1" s="1"/>
  <c r="C19" i="1"/>
  <c r="F19" i="1" s="1"/>
  <c r="C14" i="1"/>
  <c r="F14" i="1" s="1"/>
  <c r="C13" i="1"/>
  <c r="F13" i="1" s="1"/>
  <c r="C15" i="1"/>
  <c r="F15" i="1" s="1"/>
  <c r="C16" i="1"/>
  <c r="F16" i="1" s="1"/>
  <c r="C9" i="1"/>
  <c r="F9" i="1" s="1"/>
  <c r="F10" i="1"/>
  <c r="C11" i="1"/>
  <c r="F11" i="1" s="1"/>
  <c r="C12" i="1"/>
  <c r="F12" i="1" s="1"/>
  <c r="C7" i="1"/>
  <c r="F7" i="1" s="1"/>
  <c r="C8" i="1"/>
  <c r="F8" i="1" s="1"/>
  <c r="C6" i="1"/>
  <c r="F6" i="1" s="1"/>
  <c r="C56" i="1"/>
  <c r="F56" i="1" s="1"/>
  <c r="C57" i="1"/>
  <c r="F57" i="1" s="1"/>
  <c r="C58" i="1"/>
  <c r="F58" i="1" s="1"/>
  <c r="C55" i="1"/>
  <c r="F55" i="1" s="1"/>
  <c r="C51" i="1"/>
  <c r="F51" i="1" s="1"/>
  <c r="C52" i="1"/>
  <c r="F52" i="1" s="1"/>
  <c r="C53" i="1"/>
  <c r="F53" i="1" s="1"/>
  <c r="C54" i="1"/>
  <c r="F54" i="1" s="1"/>
  <c r="C47" i="1"/>
  <c r="F47" i="1" s="1"/>
  <c r="C48" i="1"/>
  <c r="F48" i="1" s="1"/>
  <c r="C46" i="1"/>
  <c r="F46" i="1" s="1"/>
  <c r="C49" i="1"/>
  <c r="F49" i="1" s="1"/>
  <c r="C50" i="1"/>
  <c r="F50" i="1" s="1"/>
  <c r="C45" i="1"/>
  <c r="F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A1" authorId="0" shapeId="0" xr:uid="{7F6959CD-F5AF-49BB-B2E1-00A689325F1E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The administrative level at which you want  calculate the PiN </t>
        </r>
      </text>
    </comment>
    <comment ref="C1" authorId="0" shapeId="0" xr:uid="{2D93E1E1-9C7D-4EEE-9009-4B104302F576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<sst xmlns="http://schemas.openxmlformats.org/spreadsheetml/2006/main" count="156" uniqueCount="156">
  <si>
    <t>Admin</t>
  </si>
  <si>
    <t>Admin Pcode</t>
  </si>
  <si>
    <t>IDP/PDI -- Children/Enfants (5-17)</t>
  </si>
  <si>
    <t>Returnees/Retournés -- Children/Enfants (5-17)</t>
  </si>
  <si>
    <t>Host/Hôte -- Children/Enfants (5-17)</t>
  </si>
  <si>
    <t>ToT -- Children/Enfants (5-17)</t>
  </si>
  <si>
    <t>ToT -- Girls/Filles (5-17)</t>
  </si>
  <si>
    <t>ToT -- Boys/Garcons (5-17)</t>
  </si>
  <si>
    <t>Refugees/Refugiees -- Children/Enfants (5-17)</t>
  </si>
  <si>
    <t>Other -- Children/Enfants (5-17)</t>
  </si>
  <si>
    <t>5yo -- Children/Enfants</t>
  </si>
  <si>
    <t>CH008001</t>
  </si>
  <si>
    <t>CH001001</t>
  </si>
  <si>
    <t>CH001</t>
  </si>
  <si>
    <t>CH008002</t>
  </si>
  <si>
    <t>CH001002</t>
  </si>
  <si>
    <t>CH008</t>
  </si>
  <si>
    <t>Do not remove the sheet. If there is no mismatch, the PiN calculation will use the admin list from the previous sheet, and the information in the 'scope-fix' sheet will not be used</t>
  </si>
  <si>
    <t>Ne supprimez pas la feuille. S'il n'y a pas de décalage, le calcul du PiN utilisera la liste des admins de la feuille précédente, et les informations de la feuille 'scope-fix' ne seront pas utilisées.</t>
  </si>
  <si>
    <r>
      <t xml:space="preserve">Unique list of admin codes at </t>
    </r>
    <r>
      <rPr>
        <sz val="11"/>
        <color rgb="FFC00000"/>
        <rFont val="Aptos Narrow"/>
        <family val="2"/>
        <scheme val="minor"/>
      </rPr>
      <t>one or more levels above OCHA's unit of analysis that are representative in the MSNA and present in the MSNA data</t>
    </r>
    <r>
      <rPr>
        <sz val="11"/>
        <color theme="1"/>
        <rFont val="Aptos Narrow"/>
        <family val="2"/>
        <scheme val="minor"/>
      </rPr>
      <t xml:space="preserve">. ---- Liste unique de codes administratifs à un </t>
    </r>
    <r>
      <rPr>
        <sz val="11"/>
        <color rgb="FFC00000"/>
        <rFont val="Aptos Narrow"/>
        <family val="2"/>
        <scheme val="minor"/>
      </rPr>
      <t>ou plusieurs niveaux au-dessus de l'unité d'analyse d'OCHA qui sont représentatifs dans le MSNA et présents dans les données du MSNA</t>
    </r>
    <r>
      <rPr>
        <sz val="11"/>
        <color theme="1"/>
        <rFont val="Aptos Narrow"/>
        <family val="2"/>
        <scheme val="minor"/>
      </rPr>
      <t>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</si>
  <si>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not representative at the unit of analysis of the HNO</t>
    </r>
    <r>
      <rPr>
        <sz val="11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 xml:space="preserve">(e.g., if your analysis is conducted at admin 3, but in some admin 3 units the data is only representative at admin 2 -&gt; include these admin 3 units) </t>
    </r>
    <r>
      <rPr>
        <sz val="11"/>
        <rFont val="Aptos Narrow"/>
        <family val="2"/>
        <scheme val="minor"/>
      </rPr>
      <t>----</t>
    </r>
    <r>
      <rPr>
        <i/>
        <sz val="11"/>
        <rFont val="Aptos Narrow"/>
        <family val="2"/>
        <scheme val="minor"/>
      </rPr>
      <t xml:space="preserve"> Liste des codes admin où les données </t>
    </r>
    <r>
      <rPr>
        <b/>
        <i/>
        <sz val="11"/>
        <color rgb="FFFF0000"/>
        <rFont val="Aptos Narrow"/>
        <family val="2"/>
        <scheme val="minor"/>
      </rPr>
      <t>MSNA ne sont pas représentatives à l'unité d'analyse de la HNO</t>
    </r>
    <r>
      <rPr>
        <i/>
        <sz val="8"/>
        <rFont val="Aptos Narrow"/>
        <family val="2"/>
        <scheme val="minor"/>
      </rPr>
      <t xml:space="preserve"> (par exemple, si votre analyse est effectuée à l'admin 3, mais que dans certaines unités de l'admin 3 les données ne sont représentatives qu'à l'admin 2 -&gt; inclure ces unités de l'admin 3).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</si>
  <si>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representative at the unit of analysis of the HNO</t>
    </r>
    <r>
      <rPr>
        <sz val="11"/>
        <color rgb="FFFF0000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>(e.g. if your analysis is conducted at admin 3, include the list of admin/pcode where the data is representative at admin 3)</t>
    </r>
    <r>
      <rPr>
        <sz val="11"/>
        <rFont val="Aptos Narrow"/>
        <family val="2"/>
        <scheme val="minor"/>
      </rPr>
      <t xml:space="preserve"> ----  </t>
    </r>
    <r>
      <rPr>
        <i/>
        <sz val="11"/>
        <rFont val="Aptos Narrow"/>
        <family val="2"/>
        <scheme val="minor"/>
      </rPr>
      <t xml:space="preserve">Liste des codes admin où les données </t>
    </r>
    <r>
      <rPr>
        <b/>
        <i/>
        <sz val="11"/>
        <color rgb="FFFF0000"/>
        <rFont val="Aptos Narrow"/>
        <family val="2"/>
        <scheme val="minor"/>
      </rPr>
      <t>MSNA sont représentatives à l'unité d'analyse de l'HNO</t>
    </r>
    <r>
      <rPr>
        <i/>
        <sz val="8"/>
        <rFont val="Aptos Narrow"/>
        <family val="2"/>
        <scheme val="minor"/>
      </rPr>
      <t xml:space="preserve"> (par exemple, si votre analyse est effectuée à l'admin 3, incluez la liste des codes admin où les données sont représentatives à l'admin 3)</t>
    </r>
    <r>
      <rPr>
        <sz val="8"/>
        <rFont val="Aptos Narrow"/>
        <family val="2"/>
        <scheme val="minor"/>
      </rPr>
      <t xml:space="preserve"> </t>
    </r>
  </si>
  <si>
    <t>Banadir</t>
  </si>
  <si>
    <t>Cabudwaaq</t>
  </si>
  <si>
    <t>Cadaado</t>
  </si>
  <si>
    <t>Ceel Buur</t>
  </si>
  <si>
    <t>Ceel Dheer</t>
  </si>
  <si>
    <t>Dhuusamarreeb</t>
  </si>
  <si>
    <t>Gaalkacyo</t>
  </si>
  <si>
    <t>Galdogob</t>
  </si>
  <si>
    <t>Hobyo</t>
  </si>
  <si>
    <t>Jariiban</t>
  </si>
  <si>
    <t>Xarardheere</t>
  </si>
  <si>
    <t>Belet Weyne</t>
  </si>
  <si>
    <t>Bulo Burto</t>
  </si>
  <si>
    <t>Jalalaqsi</t>
  </si>
  <si>
    <t>Adan Yabaal</t>
  </si>
  <si>
    <t>Balcad</t>
  </si>
  <si>
    <t>Cadale</t>
  </si>
  <si>
    <t>Jowhar</t>
  </si>
  <si>
    <t>Baardheere</t>
  </si>
  <si>
    <t>Belet Xaawo</t>
  </si>
  <si>
    <t>Ceel Waaq</t>
  </si>
  <si>
    <t>Doolow</t>
  </si>
  <si>
    <t>Garbahaarey</t>
  </si>
  <si>
    <t>Luuq</t>
  </si>
  <si>
    <t>Afmadow</t>
  </si>
  <si>
    <t>Badhaadhe</t>
  </si>
  <si>
    <t>Jamaame</t>
  </si>
  <si>
    <t>Kismaayo</t>
  </si>
  <si>
    <t>Bandarbeyla</t>
  </si>
  <si>
    <t>Bossaso</t>
  </si>
  <si>
    <t>Caluula</t>
  </si>
  <si>
    <t>Iskushuban</t>
  </si>
  <si>
    <t>Qardho</t>
  </si>
  <si>
    <t>Burtinle</t>
  </si>
  <si>
    <t>Eyl</t>
  </si>
  <si>
    <t>Garoowe</t>
  </si>
  <si>
    <t>Baki</t>
  </si>
  <si>
    <t>Borama</t>
  </si>
  <si>
    <t>Lughaye</t>
  </si>
  <si>
    <t>Zeylac</t>
  </si>
  <si>
    <t>Ceel Afweyn</t>
  </si>
  <si>
    <t>Ceerigaabo</t>
  </si>
  <si>
    <t>Laasqoray</t>
  </si>
  <si>
    <t>Caynabo</t>
  </si>
  <si>
    <t>Laas Caanood</t>
  </si>
  <si>
    <t>Taleex</t>
  </si>
  <si>
    <t>Xudun</t>
  </si>
  <si>
    <t>Burco</t>
  </si>
  <si>
    <t>Buuhoodle</t>
  </si>
  <si>
    <t>Owdweyne</t>
  </si>
  <si>
    <t>Sheikh</t>
  </si>
  <si>
    <t>Berbera</t>
  </si>
  <si>
    <t>Gebiley</t>
  </si>
  <si>
    <t>Hargeysa</t>
  </si>
  <si>
    <t>Ceel Barde</t>
  </si>
  <si>
    <t>Tayeeglow</t>
  </si>
  <si>
    <t>Waajid</t>
  </si>
  <si>
    <t>Xudur</t>
  </si>
  <si>
    <t>Baydhaba</t>
  </si>
  <si>
    <t>Buur Hakaba</t>
  </si>
  <si>
    <t>Diinsoor</t>
  </si>
  <si>
    <t>Qansax Dheere</t>
  </si>
  <si>
    <t>Afgooye</t>
  </si>
  <si>
    <t>Baraawe</t>
  </si>
  <si>
    <t>Marka</t>
  </si>
  <si>
    <t>Qoryooley</t>
  </si>
  <si>
    <t>Wanla Weyn</t>
  </si>
  <si>
    <t>SO2201</t>
  </si>
  <si>
    <t>SO1902</t>
  </si>
  <si>
    <t>SO1903</t>
  </si>
  <si>
    <t>SO1904</t>
  </si>
  <si>
    <t>SO1905</t>
  </si>
  <si>
    <t>SO1901</t>
  </si>
  <si>
    <t>SO1801</t>
  </si>
  <si>
    <t>SO1802</t>
  </si>
  <si>
    <t>SO1803</t>
  </si>
  <si>
    <t>SO1804</t>
  </si>
  <si>
    <t>SO1805</t>
  </si>
  <si>
    <t>SO2001</t>
  </si>
  <si>
    <t>SO2002</t>
  </si>
  <si>
    <t>SO2003</t>
  </si>
  <si>
    <t>SO2102</t>
  </si>
  <si>
    <t>SO2103</t>
  </si>
  <si>
    <t>SO2104</t>
  </si>
  <si>
    <t>SO2101</t>
  </si>
  <si>
    <t>SO2602</t>
  </si>
  <si>
    <t>SO2603</t>
  </si>
  <si>
    <t>SO2604</t>
  </si>
  <si>
    <t>SO2605</t>
  </si>
  <si>
    <t>SO2601</t>
  </si>
  <si>
    <t>SO2606</t>
  </si>
  <si>
    <t>SO2802</t>
  </si>
  <si>
    <t>SO2803</t>
  </si>
  <si>
    <t>SO2804</t>
  </si>
  <si>
    <t>SO2801</t>
  </si>
  <si>
    <t>SO1602</t>
  </si>
  <si>
    <t>SO1601</t>
  </si>
  <si>
    <t>SO1603</t>
  </si>
  <si>
    <t>SO1604</t>
  </si>
  <si>
    <t>SO1606</t>
  </si>
  <si>
    <t>SO1702</t>
  </si>
  <si>
    <t>SO1703</t>
  </si>
  <si>
    <t>SO1701</t>
  </si>
  <si>
    <t>SO1102</t>
  </si>
  <si>
    <t>SO1101</t>
  </si>
  <si>
    <t>SO1103</t>
  </si>
  <si>
    <t>SO1104</t>
  </si>
  <si>
    <t>SO1502</t>
  </si>
  <si>
    <t>SO1501</t>
  </si>
  <si>
    <t>SO1503</t>
  </si>
  <si>
    <t>SO1402</t>
  </si>
  <si>
    <t>SO1401</t>
  </si>
  <si>
    <t>SO1403</t>
  </si>
  <si>
    <t>SO1404</t>
  </si>
  <si>
    <t>SO1301</t>
  </si>
  <si>
    <t>SO1302</t>
  </si>
  <si>
    <t>SO1303</t>
  </si>
  <si>
    <t>SO1304</t>
  </si>
  <si>
    <t>SO1202</t>
  </si>
  <si>
    <t>SO1203</t>
  </si>
  <si>
    <t>SO1201</t>
  </si>
  <si>
    <t>SO2502</t>
  </si>
  <si>
    <t>SO2503</t>
  </si>
  <si>
    <t>SO2504</t>
  </si>
  <si>
    <t>SO2501</t>
  </si>
  <si>
    <t>SO2401</t>
  </si>
  <si>
    <t>SO2402</t>
  </si>
  <si>
    <t>SO2403</t>
  </si>
  <si>
    <t>SO2404</t>
  </si>
  <si>
    <t>SO2302</t>
  </si>
  <si>
    <t>SO2303</t>
  </si>
  <si>
    <t>SO2301</t>
  </si>
  <si>
    <t>SO2305</t>
  </si>
  <si>
    <t>SO2307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</si>
</sst>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00"/>
      <name val="Arial Narrow"/>
      <family val="2"/>
    </font>
    <font>
      <i/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Roboto Condensed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3">
    <xf numFmtId="0" fontId="0" fillId="0" borderId="0"/>
    <xf numFmtId="0" fontId="2" fillId="0" borderId="0"/>
    <xf numFmtId="164" fontId="18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7" borderId="0" xfId="0" applyFill="1"/>
    <xf numFmtId="0" fontId="1" fillId="7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" fillId="9" borderId="0" xfId="0" applyFont="1" applyFill="1"/>
    <xf numFmtId="0" fontId="19" fillId="0" borderId="0" xfId="0" applyFont="1"/>
    <xf numFmtId="0" fontId="0" fillId="7" borderId="0" xfId="0" applyFill="1" applyAlignment="1">
      <alignment horizontal="center"/>
    </xf>
    <xf numFmtId="2" fontId="0" fillId="7" borderId="1" xfId="2" applyNumberFormat="1" applyFont="1" applyFill="1" applyBorder="1"/>
    <xf numFmtId="2" fontId="0" fillId="7" borderId="1" xfId="2" applyNumberFormat="1" applyFont="1" applyFill="1" applyBorder="1" applyAlignment="1">
      <alignment horizontal="center"/>
    </xf>
    <xf numFmtId="2" fontId="0" fillId="0" borderId="1" xfId="2" applyNumberFormat="1" applyFont="1" applyBorder="1"/>
  </cellXfs>
  <cellStyles count="3">
    <cellStyle name="Comma" xfId="2" builtinId="3"/>
    <cellStyle name="Normal" xfId="0" builtinId="0"/>
    <cellStyle name="Normal 4" xfId="1" xr:uid="{71695770-2CA8-438C-96D1-ED3328163623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6C02-61B5-41C1-B66B-44B5B6878CC3}">
  <dimension ref="A1:M68"/>
  <sheetViews>
    <sheetView tabSelected="1" workbookViewId="0">
      <selection activeCell="F10" sqref="F10"/>
    </sheetView>
  </sheetViews>
  <sheetFormatPr defaultColWidth="17.42578125" defaultRowHeight="15" x14ac:dyDescent="0.25"/>
  <cols>
    <col min="1" max="1" width="12.140625" style="2" bestFit="1" customWidth="1"/>
    <col min="2" max="2" width="6.42578125" style="2" bestFit="1" customWidth="1"/>
    <col min="3" max="3" width="18.140625" style="2" customWidth="1"/>
    <col min="4" max="5" width="11.28515625" style="2" customWidth="1"/>
    <col min="6" max="6" width="20.5703125" style="17" customWidth="1"/>
    <col min="7" max="7" width="20" style="17" customWidth="1"/>
    <col min="9" max="9" width="17.42578125" style="1"/>
  </cols>
  <sheetData>
    <row r="1" spans="1:13" s="6" customFormat="1" ht="39.4" customHeight="1" x14ac:dyDescent="0.25">
      <c r="A1" s="3" t="s">
        <v>0</v>
      </c>
      <c r="B1" s="3" t="s">
        <v>1</v>
      </c>
      <c r="C1" s="4" t="s">
        <v>5</v>
      </c>
      <c r="D1" s="4" t="s">
        <v>6</v>
      </c>
      <c r="E1" s="4" t="s">
        <v>7</v>
      </c>
      <c r="F1" s="4" t="s">
        <v>10</v>
      </c>
      <c r="G1" s="4" t="s">
        <v>4</v>
      </c>
      <c r="H1" s="7" t="s">
        <v>2</v>
      </c>
      <c r="I1" s="8" t="s">
        <v>3</v>
      </c>
      <c r="J1" s="9" t="s">
        <v>8</v>
      </c>
      <c r="K1" s="10" t="s">
        <v>9</v>
      </c>
      <c r="L1" s="5"/>
      <c r="M1" s="5"/>
    </row>
    <row r="2" spans="1:13" x14ac:dyDescent="0.25">
      <c r="A2" s="16" t="s">
        <v>59</v>
      </c>
      <c r="B2" s="16" t="s">
        <v>126</v>
      </c>
      <c r="C2" s="18">
        <f t="shared" ref="C2:C33" si="0">D2+E2</f>
        <v>25303.764223403883</v>
      </c>
      <c r="D2" s="18">
        <v>12261.456133643809</v>
      </c>
      <c r="E2" s="18">
        <v>13042.308089760074</v>
      </c>
      <c r="F2" s="19">
        <f t="shared" ref="F2:F33" si="1">C2/12</f>
        <v>2108.6470186169904</v>
      </c>
      <c r="G2" s="19">
        <v>24633.46771721085</v>
      </c>
      <c r="H2" s="20">
        <v>670.29650619303573</v>
      </c>
      <c r="J2" s="1"/>
      <c r="K2" s="1"/>
    </row>
    <row r="3" spans="1:13" x14ac:dyDescent="0.25">
      <c r="A3" s="16" t="s">
        <v>58</v>
      </c>
      <c r="B3" s="16" t="s">
        <v>125</v>
      </c>
      <c r="C3" s="18">
        <f t="shared" si="0"/>
        <v>2468.7104092930394</v>
      </c>
      <c r="D3" s="18">
        <v>1196.2839943128536</v>
      </c>
      <c r="E3" s="18">
        <v>1272.4264149801859</v>
      </c>
      <c r="F3" s="19">
        <f t="shared" si="1"/>
        <v>205.72586744108662</v>
      </c>
      <c r="G3" s="19">
        <v>2067.1222433977673</v>
      </c>
      <c r="H3" s="20">
        <v>401.5881658952718</v>
      </c>
      <c r="J3" s="1"/>
      <c r="K3" s="1"/>
    </row>
    <row r="4" spans="1:13" x14ac:dyDescent="0.25">
      <c r="A4" s="16" t="s">
        <v>60</v>
      </c>
      <c r="B4" s="16" t="s">
        <v>127</v>
      </c>
      <c r="C4" s="18">
        <f t="shared" si="0"/>
        <v>4505.9534599238232</v>
      </c>
      <c r="D4" s="18">
        <v>2183.4788289916319</v>
      </c>
      <c r="E4" s="18">
        <v>2322.4746309321918</v>
      </c>
      <c r="F4" s="19">
        <f t="shared" si="1"/>
        <v>375.49612166031858</v>
      </c>
      <c r="G4" s="19">
        <v>4184.7034946759713</v>
      </c>
      <c r="H4" s="20">
        <v>321.24996524785229</v>
      </c>
      <c r="J4" s="1"/>
      <c r="K4" s="1"/>
    </row>
    <row r="5" spans="1:13" x14ac:dyDescent="0.25">
      <c r="A5" s="16" t="s">
        <v>61</v>
      </c>
      <c r="B5" s="16" t="s">
        <v>128</v>
      </c>
      <c r="C5" s="18">
        <f t="shared" si="0"/>
        <v>4159.6545342381232</v>
      </c>
      <c r="D5" s="18">
        <v>2015.6446637877848</v>
      </c>
      <c r="E5" s="18">
        <v>2144.0098704503384</v>
      </c>
      <c r="F5" s="19">
        <f t="shared" si="1"/>
        <v>346.63787785317692</v>
      </c>
      <c r="G5" s="19">
        <v>4028.6085072448491</v>
      </c>
      <c r="H5" s="20">
        <v>131.04602699327418</v>
      </c>
      <c r="J5" s="1"/>
      <c r="K5" s="1"/>
    </row>
    <row r="6" spans="1:13" x14ac:dyDescent="0.25">
      <c r="A6" s="16" t="s">
        <v>75</v>
      </c>
      <c r="B6" s="16" t="s">
        <v>142</v>
      </c>
      <c r="C6" s="18">
        <f t="shared" si="0"/>
        <v>65559.047262418186</v>
      </c>
      <c r="D6" s="18">
        <v>31767.621766747681</v>
      </c>
      <c r="E6" s="18">
        <v>33791.425495670504</v>
      </c>
      <c r="F6" s="19">
        <f t="shared" si="1"/>
        <v>5463.2539385348491</v>
      </c>
      <c r="G6" s="19">
        <v>49914.322656176024</v>
      </c>
      <c r="H6" s="20">
        <v>15644.724606242164</v>
      </c>
      <c r="J6" s="1"/>
      <c r="K6" s="1"/>
    </row>
    <row r="7" spans="1:13" x14ac:dyDescent="0.25">
      <c r="A7" s="16" t="s">
        <v>73</v>
      </c>
      <c r="B7" s="16" t="s">
        <v>140</v>
      </c>
      <c r="C7" s="18">
        <f t="shared" si="0"/>
        <v>7875.1063740174686</v>
      </c>
      <c r="D7" s="18">
        <v>3815.9804783540326</v>
      </c>
      <c r="E7" s="18">
        <v>4059.125895663436</v>
      </c>
      <c r="F7" s="19">
        <f t="shared" si="1"/>
        <v>656.25886450145572</v>
      </c>
      <c r="G7" s="19">
        <v>7567.2267052897114</v>
      </c>
      <c r="H7" s="20">
        <v>307.87966872775735</v>
      </c>
      <c r="J7" s="1"/>
      <c r="K7" s="1"/>
    </row>
    <row r="8" spans="1:13" x14ac:dyDescent="0.25">
      <c r="A8" s="16" t="s">
        <v>74</v>
      </c>
      <c r="B8" s="16" t="s">
        <v>141</v>
      </c>
      <c r="C8" s="18">
        <f t="shared" si="0"/>
        <v>14579.173072751109</v>
      </c>
      <c r="D8" s="18">
        <v>7064.6284156613428</v>
      </c>
      <c r="E8" s="18">
        <v>7514.5446570897675</v>
      </c>
      <c r="F8" s="19">
        <f t="shared" si="1"/>
        <v>1214.9310893959257</v>
      </c>
      <c r="G8" s="19">
        <v>14579.173072751109</v>
      </c>
      <c r="H8" s="20">
        <v>0</v>
      </c>
      <c r="J8" s="1"/>
      <c r="K8" s="1"/>
    </row>
    <row r="9" spans="1:13" x14ac:dyDescent="0.25">
      <c r="A9" s="16" t="s">
        <v>69</v>
      </c>
      <c r="B9" s="16" t="s">
        <v>136</v>
      </c>
      <c r="C9" s="18">
        <f t="shared" si="0"/>
        <v>48671.380065717414</v>
      </c>
      <c r="D9" s="18">
        <v>23584.44030668127</v>
      </c>
      <c r="E9" s="18">
        <v>25086.939759036144</v>
      </c>
      <c r="F9" s="19">
        <f t="shared" si="1"/>
        <v>4055.9483388097847</v>
      </c>
      <c r="G9" s="19">
        <v>31698.84211810329</v>
      </c>
      <c r="H9" s="20">
        <v>16972.537947614124</v>
      </c>
      <c r="J9" s="1"/>
      <c r="K9" s="1"/>
    </row>
    <row r="10" spans="1:13" x14ac:dyDescent="0.25">
      <c r="A10" s="16" t="s">
        <v>70</v>
      </c>
      <c r="B10" s="16" t="s">
        <v>137</v>
      </c>
      <c r="C10" s="18">
        <v>90000</v>
      </c>
      <c r="D10" s="18">
        <v>45000</v>
      </c>
      <c r="E10" s="18">
        <v>45000</v>
      </c>
      <c r="F10" s="19">
        <f t="shared" si="1"/>
        <v>7500</v>
      </c>
      <c r="G10" s="19">
        <v>60000</v>
      </c>
      <c r="H10" s="20">
        <v>30000</v>
      </c>
      <c r="J10" s="1"/>
      <c r="K10" s="1"/>
    </row>
    <row r="11" spans="1:13" x14ac:dyDescent="0.25">
      <c r="A11" s="16" t="s">
        <v>71</v>
      </c>
      <c r="B11" s="16" t="s">
        <v>138</v>
      </c>
      <c r="C11" s="18">
        <f t="shared" si="0"/>
        <v>7752.3833535782478</v>
      </c>
      <c r="D11" s="18">
        <v>3756.4735063848038</v>
      </c>
      <c r="E11" s="18">
        <v>3995.909847193444</v>
      </c>
      <c r="F11" s="19">
        <f t="shared" si="1"/>
        <v>646.03194613152061</v>
      </c>
      <c r="G11" s="19">
        <v>5516.2815029550784</v>
      </c>
      <c r="H11" s="20">
        <v>2236.1018506231694</v>
      </c>
      <c r="J11" s="1"/>
      <c r="K11" s="1"/>
    </row>
    <row r="12" spans="1:13" x14ac:dyDescent="0.25">
      <c r="A12" s="16" t="s">
        <v>72</v>
      </c>
      <c r="B12" s="16" t="s">
        <v>139</v>
      </c>
      <c r="C12" s="18">
        <f t="shared" si="0"/>
        <v>5326.2581166030668</v>
      </c>
      <c r="D12" s="18">
        <v>2580.9659188926221</v>
      </c>
      <c r="E12" s="18">
        <v>2745.2921977104447</v>
      </c>
      <c r="F12" s="19">
        <f t="shared" si="1"/>
        <v>443.85484305025557</v>
      </c>
      <c r="G12" s="19">
        <v>5309.3493606773427</v>
      </c>
      <c r="H12" s="20">
        <v>16.908755925724023</v>
      </c>
      <c r="J12" s="1"/>
      <c r="K12" s="1"/>
    </row>
    <row r="13" spans="1:13" x14ac:dyDescent="0.25">
      <c r="A13" s="16" t="s">
        <v>66</v>
      </c>
      <c r="B13" s="16" t="s">
        <v>133</v>
      </c>
      <c r="C13" s="18">
        <f t="shared" si="0"/>
        <v>111647</v>
      </c>
      <c r="D13" s="18">
        <v>54100</v>
      </c>
      <c r="E13" s="18">
        <v>57547</v>
      </c>
      <c r="F13" s="19">
        <f t="shared" si="1"/>
        <v>9303.9166666666661</v>
      </c>
      <c r="G13" s="19">
        <v>86165.272958602916</v>
      </c>
      <c r="H13" s="20">
        <v>25481.727041397091</v>
      </c>
      <c r="J13" s="1"/>
      <c r="K13" s="1"/>
    </row>
    <row r="14" spans="1:13" x14ac:dyDescent="0.25">
      <c r="A14" s="16" t="s">
        <v>65</v>
      </c>
      <c r="B14" s="16" t="s">
        <v>132</v>
      </c>
      <c r="C14" s="18">
        <f t="shared" si="0"/>
        <v>7642.8757680671242</v>
      </c>
      <c r="D14" s="18">
        <v>3703.4835677822493</v>
      </c>
      <c r="E14" s="18">
        <v>3939.3922002848744</v>
      </c>
      <c r="F14" s="19">
        <f t="shared" si="1"/>
        <v>636.90631400559369</v>
      </c>
      <c r="G14" s="19">
        <v>4802.1608808209367</v>
      </c>
      <c r="H14" s="20">
        <v>2840.7148872461876</v>
      </c>
      <c r="J14" s="1"/>
      <c r="K14" s="1"/>
    </row>
    <row r="15" spans="1:13" x14ac:dyDescent="0.25">
      <c r="A15" s="16" t="s">
        <v>67</v>
      </c>
      <c r="B15" s="16" t="s">
        <v>134</v>
      </c>
      <c r="C15" s="18">
        <f t="shared" si="0"/>
        <v>6979.1577427764951</v>
      </c>
      <c r="D15" s="18">
        <v>3381.9691452457382</v>
      </c>
      <c r="E15" s="18">
        <v>3597.1885975307573</v>
      </c>
      <c r="F15" s="19">
        <f t="shared" si="1"/>
        <v>581.59647856470792</v>
      </c>
      <c r="G15" s="19">
        <v>5338.9922647648182</v>
      </c>
      <c r="H15" s="20">
        <v>1640.1654780116783</v>
      </c>
      <c r="J15" s="1"/>
      <c r="K15" s="1"/>
    </row>
    <row r="16" spans="1:13" x14ac:dyDescent="0.25">
      <c r="A16" s="16" t="s">
        <v>68</v>
      </c>
      <c r="B16" s="16" t="s">
        <v>135</v>
      </c>
      <c r="C16" s="18">
        <f t="shared" si="0"/>
        <v>7862.6178950004187</v>
      </c>
      <c r="D16" s="18">
        <v>3809.9261330439867</v>
      </c>
      <c r="E16" s="18">
        <v>4052.6917619564319</v>
      </c>
      <c r="F16" s="19">
        <f t="shared" si="1"/>
        <v>655.21815791670156</v>
      </c>
      <c r="G16" s="19">
        <v>5954.22332857322</v>
      </c>
      <c r="H16" s="20">
        <v>1908.3945664271982</v>
      </c>
      <c r="J16" s="1"/>
      <c r="K16" s="1"/>
    </row>
    <row r="17" spans="1:11" x14ac:dyDescent="0.25">
      <c r="A17" s="16" t="s">
        <v>63</v>
      </c>
      <c r="B17" s="16" t="s">
        <v>130</v>
      </c>
      <c r="C17" s="18">
        <f t="shared" si="0"/>
        <v>11751.693496095402</v>
      </c>
      <c r="D17" s="18">
        <v>5694.4895830396654</v>
      </c>
      <c r="E17" s="18">
        <v>6057.2039130557359</v>
      </c>
      <c r="F17" s="19">
        <f t="shared" si="1"/>
        <v>979.30779134128352</v>
      </c>
      <c r="G17" s="19">
        <v>9731.0785712271991</v>
      </c>
      <c r="H17" s="20">
        <v>2020.614924868202</v>
      </c>
      <c r="J17" s="1"/>
      <c r="K17" s="1"/>
    </row>
    <row r="18" spans="1:11" x14ac:dyDescent="0.25">
      <c r="A18" s="16" t="s">
        <v>62</v>
      </c>
      <c r="B18" s="16" t="s">
        <v>129</v>
      </c>
      <c r="C18" s="18">
        <f t="shared" si="0"/>
        <v>5706.6511762997379</v>
      </c>
      <c r="D18" s="18">
        <v>2765.17571884984</v>
      </c>
      <c r="E18" s="18">
        <v>2941.4754574498979</v>
      </c>
      <c r="F18" s="19">
        <f t="shared" si="1"/>
        <v>475.55426469164485</v>
      </c>
      <c r="G18" s="19">
        <v>4497.6865567280893</v>
      </c>
      <c r="H18" s="20">
        <v>1208.9646195716482</v>
      </c>
      <c r="J18" s="1"/>
      <c r="K18" s="1"/>
    </row>
    <row r="19" spans="1:11" x14ac:dyDescent="0.25">
      <c r="A19" s="16" t="s">
        <v>64</v>
      </c>
      <c r="B19" s="16" t="s">
        <v>131</v>
      </c>
      <c r="C19" s="18">
        <f t="shared" si="0"/>
        <v>10149.406880788971</v>
      </c>
      <c r="D19" s="18">
        <v>4918.0304704419023</v>
      </c>
      <c r="E19" s="18">
        <v>5231.3764103470685</v>
      </c>
      <c r="F19" s="19">
        <f t="shared" si="1"/>
        <v>845.78390673241427</v>
      </c>
      <c r="G19" s="19">
        <v>9718.2367425796947</v>
      </c>
      <c r="H19" s="20">
        <v>431.17013820927741</v>
      </c>
      <c r="J19" s="1"/>
      <c r="K19" s="1"/>
    </row>
    <row r="20" spans="1:11" x14ac:dyDescent="0.25">
      <c r="A20" s="16" t="s">
        <v>51</v>
      </c>
      <c r="B20" s="16" t="s">
        <v>118</v>
      </c>
      <c r="C20" s="18">
        <f t="shared" si="0"/>
        <v>53432.642032565403</v>
      </c>
      <c r="D20" s="18">
        <v>25907.306107274286</v>
      </c>
      <c r="E20" s="18">
        <v>27525.335925291121</v>
      </c>
      <c r="F20" s="19">
        <f t="shared" si="1"/>
        <v>4452.72016938045</v>
      </c>
      <c r="G20" s="19">
        <v>42333.292735796742</v>
      </c>
      <c r="H20" s="20">
        <v>11099.349296768665</v>
      </c>
      <c r="J20" s="1"/>
      <c r="K20" s="1"/>
    </row>
    <row r="21" spans="1:11" x14ac:dyDescent="0.25">
      <c r="A21" s="16" t="s">
        <v>50</v>
      </c>
      <c r="B21" s="16" t="s">
        <v>117</v>
      </c>
      <c r="C21" s="18">
        <f t="shared" si="0"/>
        <v>3196.111055727245</v>
      </c>
      <c r="D21" s="18">
        <v>1549.615990429668</v>
      </c>
      <c r="E21" s="18">
        <v>1646.4950652975772</v>
      </c>
      <c r="F21" s="19">
        <f t="shared" si="1"/>
        <v>266.3425879772704</v>
      </c>
      <c r="G21" s="19">
        <v>3196.111055727245</v>
      </c>
      <c r="H21" s="20">
        <v>0</v>
      </c>
      <c r="J21" s="1"/>
      <c r="K21" s="1"/>
    </row>
    <row r="22" spans="1:11" x14ac:dyDescent="0.25">
      <c r="A22" s="16" t="s">
        <v>52</v>
      </c>
      <c r="B22" s="16" t="s">
        <v>119</v>
      </c>
      <c r="C22" s="18">
        <f t="shared" si="0"/>
        <v>6098.6637082932139</v>
      </c>
      <c r="D22" s="18">
        <v>2956.9460375936701</v>
      </c>
      <c r="E22" s="18">
        <v>3141.7176706995433</v>
      </c>
      <c r="F22" s="19">
        <f t="shared" si="1"/>
        <v>508.22197569110114</v>
      </c>
      <c r="G22" s="19">
        <v>6098.6637082932139</v>
      </c>
      <c r="H22" s="20">
        <v>0</v>
      </c>
      <c r="J22" s="1"/>
      <c r="K22" s="1"/>
    </row>
    <row r="23" spans="1:11" x14ac:dyDescent="0.25">
      <c r="A23" s="16" t="s">
        <v>53</v>
      </c>
      <c r="B23" s="16" t="s">
        <v>120</v>
      </c>
      <c r="C23" s="18">
        <f t="shared" si="0"/>
        <v>3898.3291223404258</v>
      </c>
      <c r="D23" s="18">
        <v>1890.1635638297873</v>
      </c>
      <c r="E23" s="18">
        <v>2008.1655585106387</v>
      </c>
      <c r="F23" s="19">
        <f t="shared" si="1"/>
        <v>324.86076019503548</v>
      </c>
      <c r="G23" s="19">
        <v>3898.3291223404258</v>
      </c>
      <c r="H23" s="20">
        <v>0</v>
      </c>
      <c r="J23" s="1"/>
      <c r="K23" s="1"/>
    </row>
    <row r="24" spans="1:11" x14ac:dyDescent="0.25">
      <c r="A24" s="16" t="s">
        <v>54</v>
      </c>
      <c r="B24" s="16" t="s">
        <v>121</v>
      </c>
      <c r="C24" s="18">
        <f t="shared" si="0"/>
        <v>11499.380486328322</v>
      </c>
      <c r="D24" s="18">
        <v>5575.5301002451224</v>
      </c>
      <c r="E24" s="18">
        <v>5923.8503860831988</v>
      </c>
      <c r="F24" s="19">
        <f t="shared" si="1"/>
        <v>958.28170719402681</v>
      </c>
      <c r="G24" s="19">
        <v>8520.2663706992225</v>
      </c>
      <c r="H24" s="20">
        <v>2979.1141156290987</v>
      </c>
      <c r="J24" s="1"/>
      <c r="K24" s="1"/>
    </row>
    <row r="25" spans="1:11" x14ac:dyDescent="0.25">
      <c r="A25" s="16" t="s">
        <v>57</v>
      </c>
      <c r="B25" s="16" t="s">
        <v>124</v>
      </c>
      <c r="C25" s="18">
        <f t="shared" si="0"/>
        <v>23301.058690125425</v>
      </c>
      <c r="D25" s="18">
        <v>11297.763194798379</v>
      </c>
      <c r="E25" s="18">
        <v>12003.295495327046</v>
      </c>
      <c r="F25" s="19">
        <f t="shared" si="1"/>
        <v>1941.7548908437855</v>
      </c>
      <c r="G25" s="19">
        <v>14010.426521989571</v>
      </c>
      <c r="H25" s="20">
        <v>9290.6321681358568</v>
      </c>
      <c r="J25" s="1"/>
      <c r="K25" s="1"/>
    </row>
    <row r="26" spans="1:11" x14ac:dyDescent="0.25">
      <c r="A26" s="16" t="s">
        <v>55</v>
      </c>
      <c r="B26" s="16" t="s">
        <v>122</v>
      </c>
      <c r="C26" s="18">
        <f t="shared" si="0"/>
        <v>8213.7340275218103</v>
      </c>
      <c r="D26" s="18">
        <v>3982.4479358643571</v>
      </c>
      <c r="E26" s="18">
        <v>4231.2860916574527</v>
      </c>
      <c r="F26" s="19">
        <f t="shared" si="1"/>
        <v>684.47783562681752</v>
      </c>
      <c r="G26" s="19">
        <v>7920.0823964860565</v>
      </c>
      <c r="H26" s="20">
        <v>293.65163103575384</v>
      </c>
      <c r="J26" s="1"/>
      <c r="K26" s="1"/>
    </row>
    <row r="27" spans="1:11" x14ac:dyDescent="0.25">
      <c r="A27" s="16" t="s">
        <v>56</v>
      </c>
      <c r="B27" s="16" t="s">
        <v>123</v>
      </c>
      <c r="C27" s="18">
        <f t="shared" si="0"/>
        <v>10733.376353700358</v>
      </c>
      <c r="D27" s="18">
        <v>5204.1646617293236</v>
      </c>
      <c r="E27" s="18">
        <v>5529.2116919710334</v>
      </c>
      <c r="F27" s="19">
        <f t="shared" si="1"/>
        <v>894.44802947502978</v>
      </c>
      <c r="G27" s="19">
        <v>9891.374607991891</v>
      </c>
      <c r="H27" s="20">
        <v>842.00174570846661</v>
      </c>
      <c r="J27" s="1"/>
      <c r="K27" s="1"/>
    </row>
    <row r="28" spans="1:11" x14ac:dyDescent="0.25">
      <c r="A28" s="16" t="s">
        <v>28</v>
      </c>
      <c r="B28" s="16" t="s">
        <v>95</v>
      </c>
      <c r="C28" s="18">
        <f t="shared" si="0"/>
        <v>163964.89031095104</v>
      </c>
      <c r="D28" s="18">
        <v>78371.891356953594</v>
      </c>
      <c r="E28" s="18">
        <v>85592.998953997449</v>
      </c>
      <c r="F28" s="19">
        <f t="shared" si="1"/>
        <v>13663.74085924592</v>
      </c>
      <c r="G28" s="19">
        <v>122878.80761032217</v>
      </c>
      <c r="H28" s="20">
        <v>41086.082700628882</v>
      </c>
      <c r="J28" s="1"/>
      <c r="K28" s="1"/>
    </row>
    <row r="29" spans="1:11" x14ac:dyDescent="0.25">
      <c r="A29" s="16" t="s">
        <v>29</v>
      </c>
      <c r="B29" s="16" t="s">
        <v>96</v>
      </c>
      <c r="C29" s="18">
        <f t="shared" si="0"/>
        <v>78418</v>
      </c>
      <c r="D29" s="18">
        <v>38022</v>
      </c>
      <c r="E29" s="18">
        <v>40395.999999999993</v>
      </c>
      <c r="F29" s="19">
        <f t="shared" si="1"/>
        <v>6534.833333333333</v>
      </c>
      <c r="G29" s="19">
        <v>73769.607114096085</v>
      </c>
      <c r="H29" s="20">
        <v>4648.3928859039206</v>
      </c>
      <c r="J29" s="1"/>
      <c r="K29" s="1"/>
    </row>
    <row r="30" spans="1:11" x14ac:dyDescent="0.25">
      <c r="A30" s="16" t="s">
        <v>30</v>
      </c>
      <c r="B30" s="16" t="s">
        <v>97</v>
      </c>
      <c r="C30" s="18">
        <f t="shared" si="0"/>
        <v>81643</v>
      </c>
      <c r="D30" s="18">
        <v>38461.999999999993</v>
      </c>
      <c r="E30" s="18">
        <v>43181</v>
      </c>
      <c r="F30" s="19">
        <f t="shared" si="1"/>
        <v>6803.583333333333</v>
      </c>
      <c r="G30" s="19">
        <v>81025.994871794857</v>
      </c>
      <c r="H30" s="20">
        <v>617.00512820512824</v>
      </c>
      <c r="J30" s="1"/>
      <c r="K30" s="1"/>
    </row>
    <row r="31" spans="1:11" x14ac:dyDescent="0.25">
      <c r="A31" s="16" t="s">
        <v>31</v>
      </c>
      <c r="B31" s="16" t="s">
        <v>98</v>
      </c>
      <c r="C31" s="18">
        <f t="shared" si="0"/>
        <v>83871</v>
      </c>
      <c r="D31" s="18">
        <v>39511.000000000007</v>
      </c>
      <c r="E31" s="18">
        <v>44360</v>
      </c>
      <c r="F31" s="19">
        <f t="shared" si="1"/>
        <v>6989.25</v>
      </c>
      <c r="G31" s="19">
        <v>83150.574584580769</v>
      </c>
      <c r="H31" s="20">
        <v>720.42541541923674</v>
      </c>
    </row>
    <row r="32" spans="1:11" x14ac:dyDescent="0.25">
      <c r="A32" s="16" t="s">
        <v>32</v>
      </c>
      <c r="B32" s="16" t="s">
        <v>99</v>
      </c>
      <c r="C32" s="18">
        <f t="shared" si="0"/>
        <v>35579</v>
      </c>
      <c r="D32" s="18">
        <v>16761</v>
      </c>
      <c r="E32" s="18">
        <v>18818</v>
      </c>
      <c r="F32" s="19">
        <f t="shared" si="1"/>
        <v>2964.9166666666665</v>
      </c>
      <c r="G32" s="19">
        <v>35579</v>
      </c>
      <c r="H32" s="20">
        <v>0</v>
      </c>
    </row>
    <row r="33" spans="1:8" x14ac:dyDescent="0.25">
      <c r="A33" s="16" t="s">
        <v>27</v>
      </c>
      <c r="B33" s="16" t="s">
        <v>94</v>
      </c>
      <c r="C33" s="18">
        <f t="shared" si="0"/>
        <v>48140.505147234857</v>
      </c>
      <c r="D33" s="18">
        <v>22679.143643763466</v>
      </c>
      <c r="E33" s="18">
        <v>25461.361503471391</v>
      </c>
      <c r="F33" s="19">
        <f t="shared" si="1"/>
        <v>4011.7087622695713</v>
      </c>
      <c r="G33" s="19">
        <v>39608.836485515916</v>
      </c>
      <c r="H33" s="20">
        <v>8531.6686617189353</v>
      </c>
    </row>
    <row r="34" spans="1:8" x14ac:dyDescent="0.25">
      <c r="A34" s="16" t="s">
        <v>23</v>
      </c>
      <c r="B34" s="16" t="s">
        <v>90</v>
      </c>
      <c r="C34" s="18">
        <f t="shared" ref="C34:C65" si="2">D34+E34</f>
        <v>92121</v>
      </c>
      <c r="D34" s="18">
        <v>43398</v>
      </c>
      <c r="E34" s="18">
        <v>48723.000000000007</v>
      </c>
      <c r="F34" s="19">
        <f t="shared" ref="F34:F68" si="3">C34/12</f>
        <v>7676.75</v>
      </c>
      <c r="G34" s="19">
        <v>73143.799217002233</v>
      </c>
      <c r="H34" s="20">
        <v>18977.200782997763</v>
      </c>
    </row>
    <row r="35" spans="1:8" x14ac:dyDescent="0.25">
      <c r="A35" s="16" t="s">
        <v>24</v>
      </c>
      <c r="B35" s="16" t="s">
        <v>91</v>
      </c>
      <c r="C35" s="18">
        <f t="shared" si="2"/>
        <v>23287.10720216671</v>
      </c>
      <c r="D35" s="18">
        <v>10970.294936032216</v>
      </c>
      <c r="E35" s="18">
        <v>12316.812266134493</v>
      </c>
      <c r="F35" s="19">
        <f t="shared" si="3"/>
        <v>1940.5922668472258</v>
      </c>
      <c r="G35" s="19">
        <v>21957.259709657192</v>
      </c>
      <c r="H35" s="20">
        <v>1329.8474925095202</v>
      </c>
    </row>
    <row r="36" spans="1:8" x14ac:dyDescent="0.25">
      <c r="A36" s="16" t="s">
        <v>25</v>
      </c>
      <c r="B36" s="16" t="s">
        <v>92</v>
      </c>
      <c r="C36" s="18">
        <f t="shared" si="2"/>
        <v>17671.88204108681</v>
      </c>
      <c r="D36" s="18">
        <v>8325.2319416832324</v>
      </c>
      <c r="E36" s="18">
        <v>9346.6500994035778</v>
      </c>
      <c r="F36" s="19">
        <f t="shared" si="3"/>
        <v>1472.6568367572343</v>
      </c>
      <c r="G36" s="19">
        <v>17671.88204108681</v>
      </c>
      <c r="H36" s="20">
        <v>0</v>
      </c>
    </row>
    <row r="37" spans="1:8" x14ac:dyDescent="0.25">
      <c r="A37" s="16" t="s">
        <v>26</v>
      </c>
      <c r="B37" s="16" t="s">
        <v>93</v>
      </c>
      <c r="C37" s="18">
        <f t="shared" si="2"/>
        <v>45715</v>
      </c>
      <c r="D37" s="18">
        <v>21536.000000000004</v>
      </c>
      <c r="E37" s="18">
        <v>24179</v>
      </c>
      <c r="F37" s="19">
        <f t="shared" si="3"/>
        <v>3809.5833333333335</v>
      </c>
      <c r="G37" s="19">
        <v>45715</v>
      </c>
      <c r="H37" s="20">
        <v>0</v>
      </c>
    </row>
    <row r="38" spans="1:8" x14ac:dyDescent="0.25">
      <c r="A38" s="16" t="s">
        <v>33</v>
      </c>
      <c r="B38" s="16" t="s">
        <v>100</v>
      </c>
      <c r="C38" s="18">
        <f t="shared" si="2"/>
        <v>144438</v>
      </c>
      <c r="D38" s="18">
        <v>70772</v>
      </c>
      <c r="E38" s="18">
        <v>73666</v>
      </c>
      <c r="F38" s="19">
        <f t="shared" si="3"/>
        <v>12036.5</v>
      </c>
      <c r="G38" s="19">
        <v>109075.02783718583</v>
      </c>
      <c r="H38" s="20">
        <v>35362.972162814171</v>
      </c>
    </row>
    <row r="39" spans="1:8" x14ac:dyDescent="0.25">
      <c r="A39" s="16" t="s">
        <v>34</v>
      </c>
      <c r="B39" s="16" t="s">
        <v>101</v>
      </c>
      <c r="C39" s="18">
        <f t="shared" si="2"/>
        <v>15239.423326945116</v>
      </c>
      <c r="D39" s="18">
        <v>7466.8470776312879</v>
      </c>
      <c r="E39" s="18">
        <v>7772.5762493138282</v>
      </c>
      <c r="F39" s="19">
        <f t="shared" si="3"/>
        <v>1269.9519439120929</v>
      </c>
      <c r="G39" s="19">
        <v>14325.057927328409</v>
      </c>
      <c r="H39" s="20">
        <v>914.36539961670701</v>
      </c>
    </row>
    <row r="40" spans="1:8" x14ac:dyDescent="0.25">
      <c r="A40" s="16" t="s">
        <v>35</v>
      </c>
      <c r="B40" s="16" t="s">
        <v>102</v>
      </c>
      <c r="C40" s="18">
        <f t="shared" si="2"/>
        <v>4323.051728840268</v>
      </c>
      <c r="D40" s="18">
        <v>2118.1887935998066</v>
      </c>
      <c r="E40" s="18">
        <v>2204.8629352404619</v>
      </c>
      <c r="F40" s="19">
        <f t="shared" si="3"/>
        <v>360.25431073668898</v>
      </c>
      <c r="G40" s="19">
        <v>2805.4307608421805</v>
      </c>
      <c r="H40" s="20">
        <v>1517.620967998088</v>
      </c>
    </row>
    <row r="41" spans="1:8" x14ac:dyDescent="0.25">
      <c r="A41" s="16" t="s">
        <v>39</v>
      </c>
      <c r="B41" s="16" t="s">
        <v>106</v>
      </c>
      <c r="C41" s="18">
        <f t="shared" si="2"/>
        <v>183659</v>
      </c>
      <c r="D41" s="18">
        <v>89989</v>
      </c>
      <c r="E41" s="18">
        <v>93670</v>
      </c>
      <c r="F41" s="19">
        <f t="shared" si="3"/>
        <v>15304.916666666666</v>
      </c>
      <c r="G41" s="19">
        <v>165542.65501285347</v>
      </c>
      <c r="H41" s="20">
        <v>18116.344987146535</v>
      </c>
    </row>
    <row r="42" spans="1:8" x14ac:dyDescent="0.25">
      <c r="A42" s="16" t="s">
        <v>36</v>
      </c>
      <c r="B42" s="16" t="s">
        <v>103</v>
      </c>
      <c r="C42" s="18">
        <f t="shared" si="2"/>
        <v>43142</v>
      </c>
      <c r="D42" s="18">
        <v>21139</v>
      </c>
      <c r="E42" s="18">
        <v>22003</v>
      </c>
      <c r="F42" s="19">
        <f t="shared" si="3"/>
        <v>3595.1666666666665</v>
      </c>
      <c r="G42" s="19">
        <v>43142</v>
      </c>
      <c r="H42" s="20">
        <v>0</v>
      </c>
    </row>
    <row r="43" spans="1:8" x14ac:dyDescent="0.25">
      <c r="A43" s="16" t="s">
        <v>37</v>
      </c>
      <c r="B43" s="16" t="s">
        <v>104</v>
      </c>
      <c r="C43" s="18">
        <f t="shared" si="2"/>
        <v>40952.869052254697</v>
      </c>
      <c r="D43" s="18">
        <v>20065.952473665311</v>
      </c>
      <c r="E43" s="18">
        <v>20886.916578589382</v>
      </c>
      <c r="F43" s="19">
        <f t="shared" si="3"/>
        <v>3412.7390876878912</v>
      </c>
      <c r="G43" s="19">
        <v>36124.142295808197</v>
      </c>
      <c r="H43" s="20">
        <v>4828.7267564464992</v>
      </c>
    </row>
    <row r="44" spans="1:8" x14ac:dyDescent="0.25">
      <c r="A44" s="16" t="s">
        <v>38</v>
      </c>
      <c r="B44" s="16" t="s">
        <v>105</v>
      </c>
      <c r="C44" s="18">
        <f t="shared" si="2"/>
        <v>8128.6489710706846</v>
      </c>
      <c r="D44" s="18">
        <v>3982.8096629883694</v>
      </c>
      <c r="E44" s="18">
        <v>4145.8393080823153</v>
      </c>
      <c r="F44" s="19">
        <f t="shared" si="3"/>
        <v>677.38741425589035</v>
      </c>
      <c r="G44" s="19">
        <v>8115.9081419624235</v>
      </c>
      <c r="H44" s="20">
        <v>12.740829108261261</v>
      </c>
    </row>
    <row r="45" spans="1:8" x14ac:dyDescent="0.25">
      <c r="A45" s="16" t="s">
        <v>22</v>
      </c>
      <c r="B45" s="16" t="s">
        <v>89</v>
      </c>
      <c r="C45" s="18">
        <f t="shared" si="2"/>
        <v>442940.53720317507</v>
      </c>
      <c r="D45" s="18">
        <v>218638.94262359728</v>
      </c>
      <c r="E45" s="18">
        <v>224301.5945795778</v>
      </c>
      <c r="F45" s="19">
        <f t="shared" si="3"/>
        <v>36911.71143359792</v>
      </c>
      <c r="G45" s="19">
        <v>99672.231721959368</v>
      </c>
      <c r="H45" s="20">
        <v>343268.30548121565</v>
      </c>
    </row>
    <row r="46" spans="1:8" x14ac:dyDescent="0.25">
      <c r="A46" s="16" t="s">
        <v>86</v>
      </c>
      <c r="B46" s="16" t="s">
        <v>153</v>
      </c>
      <c r="C46" s="18">
        <f t="shared" si="2"/>
        <v>23642.464283757497</v>
      </c>
      <c r="D46" s="18">
        <v>11456.280579678381</v>
      </c>
      <c r="E46" s="18">
        <v>12186.183704079116</v>
      </c>
      <c r="F46" s="19">
        <f t="shared" si="3"/>
        <v>1970.2053569797915</v>
      </c>
      <c r="G46" s="19">
        <v>21994.403932917594</v>
      </c>
      <c r="H46" s="20">
        <v>1648.0603508399038</v>
      </c>
    </row>
    <row r="47" spans="1:8" x14ac:dyDescent="0.25">
      <c r="A47" s="16" t="s">
        <v>84</v>
      </c>
      <c r="B47" s="16" t="s">
        <v>151</v>
      </c>
      <c r="C47" s="18">
        <f t="shared" si="2"/>
        <v>235923.99999999997</v>
      </c>
      <c r="D47" s="18">
        <v>114320.99999999999</v>
      </c>
      <c r="E47" s="18">
        <v>121602.99999999999</v>
      </c>
      <c r="F47" s="19">
        <f t="shared" si="3"/>
        <v>19660.333333333332</v>
      </c>
      <c r="G47" s="19">
        <v>212521.65895363141</v>
      </c>
      <c r="H47" s="20">
        <v>23402.341046368572</v>
      </c>
    </row>
    <row r="48" spans="1:8" x14ac:dyDescent="0.25">
      <c r="A48" s="16" t="s">
        <v>85</v>
      </c>
      <c r="B48" s="16" t="s">
        <v>152</v>
      </c>
      <c r="C48" s="18">
        <f t="shared" si="2"/>
        <v>5351.5432737607935</v>
      </c>
      <c r="D48" s="18">
        <v>2593.2476559724428</v>
      </c>
      <c r="E48" s="18">
        <v>2758.2956177883502</v>
      </c>
      <c r="F48" s="19">
        <f t="shared" si="3"/>
        <v>445.96193948006612</v>
      </c>
      <c r="G48" s="19">
        <v>2219.2418789292387</v>
      </c>
      <c r="H48" s="20">
        <v>3132.3013948315543</v>
      </c>
    </row>
    <row r="49" spans="1:8" x14ac:dyDescent="0.25">
      <c r="A49" s="16" t="s">
        <v>87</v>
      </c>
      <c r="B49" s="16" t="s">
        <v>154</v>
      </c>
      <c r="C49" s="18">
        <f t="shared" si="2"/>
        <v>63221.999999999985</v>
      </c>
      <c r="D49" s="18">
        <v>30634.999999999993</v>
      </c>
      <c r="E49" s="18">
        <v>32586.999999999996</v>
      </c>
      <c r="F49" s="19">
        <f t="shared" si="3"/>
        <v>5268.4999999999991</v>
      </c>
      <c r="G49" s="19">
        <v>63221.999999999985</v>
      </c>
      <c r="H49" s="20">
        <v>0</v>
      </c>
    </row>
    <row r="50" spans="1:8" x14ac:dyDescent="0.25">
      <c r="A50" s="16" t="s">
        <v>88</v>
      </c>
      <c r="B50" s="16" t="s">
        <v>155</v>
      </c>
      <c r="C50" s="18">
        <f t="shared" si="2"/>
        <v>33994.911338175283</v>
      </c>
      <c r="D50" s="18">
        <v>16472.779747452147</v>
      </c>
      <c r="E50" s="18">
        <v>17522.13159072314</v>
      </c>
      <c r="F50" s="19">
        <f t="shared" si="3"/>
        <v>2832.9092781812737</v>
      </c>
      <c r="G50" s="19">
        <v>33749.735404624655</v>
      </c>
      <c r="H50" s="20">
        <v>245.17593355063002</v>
      </c>
    </row>
    <row r="51" spans="1:8" x14ac:dyDescent="0.25">
      <c r="A51" s="16" t="s">
        <v>80</v>
      </c>
      <c r="B51" s="16" t="s">
        <v>147</v>
      </c>
      <c r="C51" s="18">
        <f t="shared" si="2"/>
        <v>256124.73676265107</v>
      </c>
      <c r="D51" s="18">
        <v>124109.3647843887</v>
      </c>
      <c r="E51" s="18">
        <v>132015.37197826238</v>
      </c>
      <c r="F51" s="19">
        <f t="shared" si="3"/>
        <v>21343.728063554256</v>
      </c>
      <c r="G51" s="19">
        <v>85481.864853345396</v>
      </c>
      <c r="H51" s="20">
        <v>170642.87190930569</v>
      </c>
    </row>
    <row r="52" spans="1:8" x14ac:dyDescent="0.25">
      <c r="A52" s="16" t="s">
        <v>81</v>
      </c>
      <c r="B52" s="16" t="s">
        <v>148</v>
      </c>
      <c r="C52" s="18">
        <f t="shared" si="2"/>
        <v>34894.809874947372</v>
      </c>
      <c r="D52" s="18">
        <v>16908.615362770161</v>
      </c>
      <c r="E52" s="18">
        <v>17986.194512177211</v>
      </c>
      <c r="F52" s="19">
        <f t="shared" si="3"/>
        <v>2907.900822912281</v>
      </c>
      <c r="G52" s="19">
        <v>34142.383932156255</v>
      </c>
      <c r="H52" s="20">
        <v>752.42594279111222</v>
      </c>
    </row>
    <row r="53" spans="1:8" x14ac:dyDescent="0.25">
      <c r="A53" s="16" t="s">
        <v>82</v>
      </c>
      <c r="B53" s="16" t="s">
        <v>149</v>
      </c>
      <c r="C53" s="18">
        <f t="shared" si="2"/>
        <v>73458</v>
      </c>
      <c r="D53" s="18">
        <v>35595</v>
      </c>
      <c r="E53" s="18">
        <v>37863</v>
      </c>
      <c r="F53" s="19">
        <f t="shared" si="3"/>
        <v>6121.5</v>
      </c>
      <c r="G53" s="19">
        <v>68464.594262752536</v>
      </c>
      <c r="H53" s="20">
        <v>4993.4057372474608</v>
      </c>
    </row>
    <row r="54" spans="1:8" x14ac:dyDescent="0.25">
      <c r="A54" s="16" t="s">
        <v>83</v>
      </c>
      <c r="B54" s="16" t="s">
        <v>150</v>
      </c>
      <c r="C54" s="18">
        <f t="shared" si="2"/>
        <v>27518.464337593356</v>
      </c>
      <c r="D54" s="18">
        <v>13334.644109576981</v>
      </c>
      <c r="E54" s="18">
        <v>14183.820228016375</v>
      </c>
      <c r="F54" s="19">
        <f t="shared" si="3"/>
        <v>2293.2053614661131</v>
      </c>
      <c r="G54" s="19">
        <v>14879.999924566739</v>
      </c>
      <c r="H54" s="20">
        <v>12638.464413026617</v>
      </c>
    </row>
    <row r="55" spans="1:8" x14ac:dyDescent="0.25">
      <c r="A55" s="16" t="s">
        <v>79</v>
      </c>
      <c r="B55" s="16" t="s">
        <v>146</v>
      </c>
      <c r="C55" s="18">
        <f t="shared" si="2"/>
        <v>17318.532029475988</v>
      </c>
      <c r="D55" s="18">
        <v>8392.1114310820321</v>
      </c>
      <c r="E55" s="18">
        <v>8926.4205983939555</v>
      </c>
      <c r="F55" s="19">
        <f t="shared" si="3"/>
        <v>1443.2110024563324</v>
      </c>
      <c r="G55" s="19">
        <v>14718.850018705245</v>
      </c>
      <c r="H55" s="20">
        <v>2599.6820107707426</v>
      </c>
    </row>
    <row r="56" spans="1:8" x14ac:dyDescent="0.25">
      <c r="A56" s="16" t="s">
        <v>76</v>
      </c>
      <c r="B56" s="16" t="s">
        <v>143</v>
      </c>
      <c r="C56" s="18">
        <f t="shared" si="2"/>
        <v>5216.3787091724189</v>
      </c>
      <c r="D56" s="18">
        <v>2527.6232832847081</v>
      </c>
      <c r="E56" s="18">
        <v>2688.7554258877108</v>
      </c>
      <c r="F56" s="19">
        <f t="shared" si="3"/>
        <v>434.69822576436826</v>
      </c>
      <c r="G56" s="19">
        <v>1606.3402832135489</v>
      </c>
      <c r="H56" s="20">
        <v>3610.03842595887</v>
      </c>
    </row>
    <row r="57" spans="1:8" x14ac:dyDescent="0.25">
      <c r="A57" s="16" t="s">
        <v>77</v>
      </c>
      <c r="B57" s="16" t="s">
        <v>144</v>
      </c>
      <c r="C57" s="18">
        <f t="shared" si="2"/>
        <v>21558.534990189666</v>
      </c>
      <c r="D57" s="18">
        <v>10446.333842017295</v>
      </c>
      <c r="E57" s="18">
        <v>11112.201148172371</v>
      </c>
      <c r="F57" s="19">
        <f t="shared" si="3"/>
        <v>1796.5445825158056</v>
      </c>
      <c r="G57" s="19">
        <v>21558.534990189666</v>
      </c>
      <c r="H57" s="20">
        <v>0</v>
      </c>
    </row>
    <row r="58" spans="1:8" x14ac:dyDescent="0.25">
      <c r="A58" s="16" t="s">
        <v>78</v>
      </c>
      <c r="B58" s="16" t="s">
        <v>145</v>
      </c>
      <c r="C58" s="18">
        <f t="shared" si="2"/>
        <v>12504.074611537773</v>
      </c>
      <c r="D58" s="18">
        <v>6059.369753527415</v>
      </c>
      <c r="E58" s="18">
        <v>6444.7048580103592</v>
      </c>
      <c r="F58" s="19">
        <f t="shared" si="3"/>
        <v>1042.0062176281479</v>
      </c>
      <c r="G58" s="19">
        <v>9426.6688247901402</v>
      </c>
      <c r="H58" s="20">
        <v>3077.405786747634</v>
      </c>
    </row>
    <row r="59" spans="1:8" x14ac:dyDescent="0.25">
      <c r="A59" s="16" t="s">
        <v>44</v>
      </c>
      <c r="B59" s="16" t="s">
        <v>111</v>
      </c>
      <c r="C59" s="18">
        <f t="shared" si="2"/>
        <v>23769.550415137295</v>
      </c>
      <c r="D59" s="18">
        <v>11793.784920276627</v>
      </c>
      <c r="E59" s="18">
        <v>11975.765494860671</v>
      </c>
      <c r="F59" s="19">
        <f t="shared" si="3"/>
        <v>1980.795867928108</v>
      </c>
      <c r="G59" s="19">
        <v>21516.512461095848</v>
      </c>
      <c r="H59" s="20">
        <v>2253.0379540414497</v>
      </c>
    </row>
    <row r="60" spans="1:8" x14ac:dyDescent="0.25">
      <c r="A60" s="16" t="s">
        <v>40</v>
      </c>
      <c r="B60" s="16" t="s">
        <v>107</v>
      </c>
      <c r="C60" s="18">
        <f t="shared" si="2"/>
        <v>49330.481610799645</v>
      </c>
      <c r="D60" s="18">
        <v>24476.671700018582</v>
      </c>
      <c r="E60" s="18">
        <v>24853.809910781059</v>
      </c>
      <c r="F60" s="19">
        <f t="shared" si="3"/>
        <v>4110.8734675666374</v>
      </c>
      <c r="G60" s="19">
        <v>22384.727370160959</v>
      </c>
      <c r="H60" s="20">
        <v>26945.754240638682</v>
      </c>
    </row>
    <row r="61" spans="1:8" x14ac:dyDescent="0.25">
      <c r="A61" s="16" t="s">
        <v>41</v>
      </c>
      <c r="B61" s="16" t="s">
        <v>108</v>
      </c>
      <c r="C61" s="18">
        <f t="shared" si="2"/>
        <v>9767.1173095350787</v>
      </c>
      <c r="D61" s="18">
        <v>4846.29079741852</v>
      </c>
      <c r="E61" s="18">
        <v>4920.8265121165587</v>
      </c>
      <c r="F61" s="19">
        <f t="shared" si="3"/>
        <v>813.92644246125656</v>
      </c>
      <c r="G61" s="19">
        <v>6491.7140976944474</v>
      </c>
      <c r="H61" s="20">
        <v>3275.4032118406321</v>
      </c>
    </row>
    <row r="62" spans="1:8" x14ac:dyDescent="0.25">
      <c r="A62" s="16" t="s">
        <v>42</v>
      </c>
      <c r="B62" s="16" t="s">
        <v>109</v>
      </c>
      <c r="C62" s="18">
        <f t="shared" si="2"/>
        <v>10400.620963586798</v>
      </c>
      <c r="D62" s="18">
        <v>5160.5625825550133</v>
      </c>
      <c r="E62" s="18">
        <v>5240.0583810317848</v>
      </c>
      <c r="F62" s="19">
        <f t="shared" si="3"/>
        <v>866.71841363223314</v>
      </c>
      <c r="G62" s="19">
        <v>9231.7016163518219</v>
      </c>
      <c r="H62" s="20">
        <v>1168.9193472349766</v>
      </c>
    </row>
    <row r="63" spans="1:8" x14ac:dyDescent="0.25">
      <c r="A63" s="16" t="s">
        <v>43</v>
      </c>
      <c r="B63" s="16" t="s">
        <v>110</v>
      </c>
      <c r="C63" s="18">
        <f t="shared" si="2"/>
        <v>45993.068847018672</v>
      </c>
      <c r="D63" s="18">
        <v>22820.956014273794</v>
      </c>
      <c r="E63" s="18">
        <v>23172.112832744879</v>
      </c>
      <c r="F63" s="19">
        <f t="shared" si="3"/>
        <v>3832.7557372515562</v>
      </c>
      <c r="G63" s="19">
        <v>4876.3040371054931</v>
      </c>
      <c r="H63" s="20">
        <v>41116.764809913177</v>
      </c>
    </row>
    <row r="64" spans="1:8" x14ac:dyDescent="0.25">
      <c r="A64" s="16" t="s">
        <v>45</v>
      </c>
      <c r="B64" s="16" t="s">
        <v>112</v>
      </c>
      <c r="C64" s="18">
        <f t="shared" si="2"/>
        <v>59620.999999999993</v>
      </c>
      <c r="D64" s="18">
        <v>29583</v>
      </c>
      <c r="E64" s="18">
        <v>30037.999999999993</v>
      </c>
      <c r="F64" s="19">
        <f t="shared" si="3"/>
        <v>4968.4166666666661</v>
      </c>
      <c r="G64" s="19">
        <v>32939.430711661909</v>
      </c>
      <c r="H64" s="20">
        <v>26681.569288338083</v>
      </c>
    </row>
    <row r="65" spans="1:8" x14ac:dyDescent="0.25">
      <c r="A65" s="16" t="s">
        <v>49</v>
      </c>
      <c r="B65" s="16" t="s">
        <v>116</v>
      </c>
      <c r="C65" s="18">
        <f t="shared" si="2"/>
        <v>151503</v>
      </c>
      <c r="D65" s="18">
        <v>75173</v>
      </c>
      <c r="E65" s="18">
        <v>76330</v>
      </c>
      <c r="F65" s="19">
        <f t="shared" si="3"/>
        <v>12625.25</v>
      </c>
      <c r="G65" s="19">
        <v>101284.5912072888</v>
      </c>
      <c r="H65" s="20">
        <v>50218.408792711198</v>
      </c>
    </row>
    <row r="66" spans="1:8" x14ac:dyDescent="0.25">
      <c r="A66" s="16" t="s">
        <v>46</v>
      </c>
      <c r="B66" s="16" t="s">
        <v>113</v>
      </c>
      <c r="C66" s="18">
        <f t="shared" ref="C66:C68" si="4">D66+E66</f>
        <v>116493</v>
      </c>
      <c r="D66" s="18">
        <v>57802</v>
      </c>
      <c r="E66" s="18">
        <v>58691</v>
      </c>
      <c r="F66" s="19">
        <f t="shared" si="3"/>
        <v>9707.75</v>
      </c>
      <c r="G66" s="19">
        <v>95554.306335652538</v>
      </c>
      <c r="H66" s="20">
        <v>20938.693664347458</v>
      </c>
    </row>
    <row r="67" spans="1:8" x14ac:dyDescent="0.25">
      <c r="A67" s="16" t="s">
        <v>47</v>
      </c>
      <c r="B67" s="16" t="s">
        <v>114</v>
      </c>
      <c r="C67" s="18">
        <f t="shared" si="4"/>
        <v>16143.971851391907</v>
      </c>
      <c r="D67" s="18">
        <v>8010.3123253647927</v>
      </c>
      <c r="E67" s="18">
        <v>8133.6595260271142</v>
      </c>
      <c r="F67" s="19">
        <f t="shared" si="3"/>
        <v>1345.3309876159922</v>
      </c>
      <c r="G67" s="19">
        <v>16143.971851391907</v>
      </c>
      <c r="H67" s="20">
        <v>0</v>
      </c>
    </row>
    <row r="68" spans="1:8" x14ac:dyDescent="0.25">
      <c r="A68" s="16" t="s">
        <v>48</v>
      </c>
      <c r="B68" s="16" t="s">
        <v>115</v>
      </c>
      <c r="C68" s="18">
        <f t="shared" si="4"/>
        <v>185283</v>
      </c>
      <c r="D68" s="18">
        <v>91935</v>
      </c>
      <c r="E68" s="18">
        <v>93347.999999999985</v>
      </c>
      <c r="F68" s="19">
        <f t="shared" si="3"/>
        <v>15440.25</v>
      </c>
      <c r="G68" s="19">
        <v>185283</v>
      </c>
      <c r="H68" s="20">
        <v>0</v>
      </c>
    </row>
  </sheetData>
  <protectedRanges>
    <protectedRange sqref="A2:K113" name="pop value"/>
  </protectedRanges>
  <sortState xmlns:xlrd2="http://schemas.microsoft.com/office/spreadsheetml/2017/richdata2" ref="A2:K68">
    <sortCondition ref="B1:B68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4D79-A7A6-48C8-8509-FD3F2A049ECB}">
  <dimension ref="A1:D6"/>
  <sheetViews>
    <sheetView workbookViewId="0">
      <selection activeCell="A5" sqref="A5"/>
    </sheetView>
  </sheetViews>
  <sheetFormatPr defaultRowHeight="15" x14ac:dyDescent="0.25"/>
  <cols>
    <col min="1" max="1" width="57.42578125" customWidth="1"/>
    <col min="2" max="3" width="50.140625" customWidth="1"/>
    <col min="4" max="4" width="15.5703125" customWidth="1"/>
  </cols>
  <sheetData>
    <row r="1" spans="1:4" ht="120" x14ac:dyDescent="0.25">
      <c r="A1" s="11" t="s">
        <v>21</v>
      </c>
      <c r="B1" s="11" t="s">
        <v>20</v>
      </c>
      <c r="C1" s="12" t="s">
        <v>19</v>
      </c>
    </row>
    <row r="2" spans="1:4" ht="16.5" x14ac:dyDescent="0.25">
      <c r="A2" s="13" t="s">
        <v>11</v>
      </c>
      <c r="B2" s="13" t="s">
        <v>12</v>
      </c>
      <c r="C2" s="13" t="s">
        <v>13</v>
      </c>
    </row>
    <row r="3" spans="1:4" ht="16.5" x14ac:dyDescent="0.25">
      <c r="A3" s="14" t="s">
        <v>14</v>
      </c>
      <c r="B3" s="14" t="s">
        <v>15</v>
      </c>
      <c r="C3" s="14" t="s">
        <v>16</v>
      </c>
    </row>
    <row r="5" spans="1:4" x14ac:dyDescent="0.25">
      <c r="A5" s="15" t="s">
        <v>17</v>
      </c>
      <c r="B5" s="15"/>
      <c r="C5" s="15"/>
      <c r="D5" s="15"/>
    </row>
    <row r="6" spans="1:4" x14ac:dyDescent="0.25">
      <c r="A6" s="15" t="s">
        <v>18</v>
      </c>
      <c r="B6" s="15"/>
      <c r="C6" s="15"/>
      <c r="D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2BF49E-AF05-4219-B47E-6C48CF10C5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A1044A-A7C4-474B-90D7-000229B24865}"/>
</file>

<file path=customXml/itemProps3.xml><?xml version="1.0" encoding="utf-8"?>
<ds:datastoreItem xmlns:ds="http://schemas.openxmlformats.org/officeDocument/2006/customXml" ds:itemID="{70D3C4DA-E41B-4C72-85DF-FBE8A7C5F416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ocha</vt:lpstr>
      <vt:lpstr>scope-fix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2024-07-16T12:05:48Z</dcterms:created>
  <dcterms:modified xsi:type="dcterms:W3CDTF">2025-07-29T08:03:35Z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  <property fmtid="{D5CDD505-2E9C-101B-9397-08002B2CF9AE}" pid="3" name="MediaServiceImageTags">
    <vt:lpwstr/>
  </property>
</Properties>
</file>