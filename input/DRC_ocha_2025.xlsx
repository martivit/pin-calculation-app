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cted.sharepoint.com/sites/IMPACTHQ-Progs-Res-Comms/Documents partages/ST Unit/10_Prog_Education/PiN/HPC 2026/byCountrySupport/DRC/"/>
    </mc:Choice>
  </mc:AlternateContent>
  <xr:revisionPtr revIDLastSave="918" documentId="8_{D63770E9-8D5C-4F2A-BD7D-98D3C6683B73}" xr6:coauthVersionLast="47" xr6:coauthVersionMax="47" xr10:uidLastSave="{6C71207F-C512-47CD-860E-B5D928EA524B}"/>
  <bookViews>
    <workbookView xWindow="-110" yWindow="-110" windowWidth="19420" windowHeight="11500" activeTab="3" xr2:uid="{24D09A16-471A-4A7F-BD10-C475AB78837D}"/>
  </bookViews>
  <sheets>
    <sheet name="ocha" sheetId="7" r:id="rId1"/>
    <sheet name="scope-fix" sheetId="2" r:id="rId2"/>
    <sheet name="Sheet1" sheetId="8" r:id="rId3"/>
    <sheet name="calculation_pop" sheetId="9" r:id="rId4"/>
    <sheet name="ratio" sheetId="10" r:id="rId5"/>
  </sheets>
  <definedNames>
    <definedName name="_xlnm._FilterDatabase" localSheetId="3" hidden="1">calculation_pop!$A$1:$Y$209</definedName>
  </definedNames>
  <calcPr calcId="191028"/>
  <pivotCaches>
    <pivotCache cacheId="2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9" l="1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W105" i="9"/>
  <c r="W106" i="9"/>
  <c r="W107" i="9"/>
  <c r="W108" i="9"/>
  <c r="W109" i="9"/>
  <c r="W110" i="9"/>
  <c r="W111" i="9"/>
  <c r="W112" i="9"/>
  <c r="W113" i="9"/>
  <c r="W114" i="9"/>
  <c r="W115" i="9"/>
  <c r="W116" i="9"/>
  <c r="W117" i="9"/>
  <c r="W118" i="9"/>
  <c r="W119" i="9"/>
  <c r="W120" i="9"/>
  <c r="W121" i="9"/>
  <c r="W122" i="9"/>
  <c r="W123" i="9"/>
  <c r="W124" i="9"/>
  <c r="W125" i="9"/>
  <c r="W126" i="9"/>
  <c r="W127" i="9"/>
  <c r="W128" i="9"/>
  <c r="W129" i="9"/>
  <c r="W130" i="9"/>
  <c r="W131" i="9"/>
  <c r="W132" i="9"/>
  <c r="W133" i="9"/>
  <c r="W134" i="9"/>
  <c r="W135" i="9"/>
  <c r="W136" i="9"/>
  <c r="W137" i="9"/>
  <c r="W138" i="9"/>
  <c r="W139" i="9"/>
  <c r="W140" i="9"/>
  <c r="W141" i="9"/>
  <c r="W142" i="9"/>
  <c r="W143" i="9"/>
  <c r="W144" i="9"/>
  <c r="W145" i="9"/>
  <c r="W146" i="9"/>
  <c r="W147" i="9"/>
  <c r="W148" i="9"/>
  <c r="W149" i="9"/>
  <c r="W150" i="9"/>
  <c r="W151" i="9"/>
  <c r="W152" i="9"/>
  <c r="W153" i="9"/>
  <c r="W154" i="9"/>
  <c r="W155" i="9"/>
  <c r="W156" i="9"/>
  <c r="W157" i="9"/>
  <c r="W158" i="9"/>
  <c r="W159" i="9"/>
  <c r="W160" i="9"/>
  <c r="W161" i="9"/>
  <c r="W162" i="9"/>
  <c r="W163" i="9"/>
  <c r="W164" i="9"/>
  <c r="W165" i="9"/>
  <c r="W166" i="9"/>
  <c r="W167" i="9"/>
  <c r="W168" i="9"/>
  <c r="W169" i="9"/>
  <c r="W170" i="9"/>
  <c r="W171" i="9"/>
  <c r="W172" i="9"/>
  <c r="W173" i="9"/>
  <c r="W174" i="9"/>
  <c r="W175" i="9"/>
  <c r="W176" i="9"/>
  <c r="W177" i="9"/>
  <c r="W178" i="9"/>
  <c r="W179" i="9"/>
  <c r="W180" i="9"/>
  <c r="W181" i="9"/>
  <c r="W182" i="9"/>
  <c r="W183" i="9"/>
  <c r="W184" i="9"/>
  <c r="W185" i="9"/>
  <c r="W186" i="9"/>
  <c r="W187" i="9"/>
  <c r="W188" i="9"/>
  <c r="W189" i="9"/>
  <c r="W190" i="9"/>
  <c r="W191" i="9"/>
  <c r="W192" i="9"/>
  <c r="W193" i="9"/>
  <c r="W194" i="9"/>
  <c r="W195" i="9"/>
  <c r="W196" i="9"/>
  <c r="W197" i="9"/>
  <c r="W198" i="9"/>
  <c r="W199" i="9"/>
  <c r="W200" i="9"/>
  <c r="W201" i="9"/>
  <c r="W202" i="9"/>
  <c r="W203" i="9"/>
  <c r="W204" i="9"/>
  <c r="W205" i="9"/>
  <c r="W206" i="9"/>
  <c r="W207" i="9"/>
  <c r="W208" i="9"/>
  <c r="W209" i="9"/>
  <c r="W2" i="9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3" i="9"/>
  <c r="X94" i="9"/>
  <c r="X95" i="9"/>
  <c r="X96" i="9"/>
  <c r="X97" i="9"/>
  <c r="X98" i="9"/>
  <c r="X99" i="9"/>
  <c r="X100" i="9"/>
  <c r="X101" i="9"/>
  <c r="X102" i="9"/>
  <c r="X103" i="9"/>
  <c r="X104" i="9"/>
  <c r="X105" i="9"/>
  <c r="X106" i="9"/>
  <c r="X107" i="9"/>
  <c r="X108" i="9"/>
  <c r="X109" i="9"/>
  <c r="X110" i="9"/>
  <c r="X111" i="9"/>
  <c r="X112" i="9"/>
  <c r="X113" i="9"/>
  <c r="X114" i="9"/>
  <c r="X115" i="9"/>
  <c r="X116" i="9"/>
  <c r="X117" i="9"/>
  <c r="X118" i="9"/>
  <c r="X119" i="9"/>
  <c r="X120" i="9"/>
  <c r="X121" i="9"/>
  <c r="X122" i="9"/>
  <c r="X123" i="9"/>
  <c r="X124" i="9"/>
  <c r="X125" i="9"/>
  <c r="X126" i="9"/>
  <c r="X127" i="9"/>
  <c r="X128" i="9"/>
  <c r="X129" i="9"/>
  <c r="X130" i="9"/>
  <c r="X131" i="9"/>
  <c r="X132" i="9"/>
  <c r="X133" i="9"/>
  <c r="X134" i="9"/>
  <c r="X135" i="9"/>
  <c r="X136" i="9"/>
  <c r="X137" i="9"/>
  <c r="X138" i="9"/>
  <c r="X139" i="9"/>
  <c r="X140" i="9"/>
  <c r="X141" i="9"/>
  <c r="X142" i="9"/>
  <c r="X143" i="9"/>
  <c r="X144" i="9"/>
  <c r="X145" i="9"/>
  <c r="X146" i="9"/>
  <c r="X147" i="9"/>
  <c r="X148" i="9"/>
  <c r="X149" i="9"/>
  <c r="X150" i="9"/>
  <c r="X151" i="9"/>
  <c r="X152" i="9"/>
  <c r="X153" i="9"/>
  <c r="X154" i="9"/>
  <c r="X155" i="9"/>
  <c r="X156" i="9"/>
  <c r="X157" i="9"/>
  <c r="X158" i="9"/>
  <c r="X159" i="9"/>
  <c r="X160" i="9"/>
  <c r="X161" i="9"/>
  <c r="X162" i="9"/>
  <c r="X163" i="9"/>
  <c r="X164" i="9"/>
  <c r="X165" i="9"/>
  <c r="X166" i="9"/>
  <c r="X167" i="9"/>
  <c r="X168" i="9"/>
  <c r="X169" i="9"/>
  <c r="X170" i="9"/>
  <c r="X171" i="9"/>
  <c r="X172" i="9"/>
  <c r="X173" i="9"/>
  <c r="X174" i="9"/>
  <c r="X175" i="9"/>
  <c r="X176" i="9"/>
  <c r="X177" i="9"/>
  <c r="X178" i="9"/>
  <c r="X179" i="9"/>
  <c r="X180" i="9"/>
  <c r="X181" i="9"/>
  <c r="X182" i="9"/>
  <c r="X183" i="9"/>
  <c r="X184" i="9"/>
  <c r="X185" i="9"/>
  <c r="X186" i="9"/>
  <c r="X187" i="9"/>
  <c r="X188" i="9"/>
  <c r="X189" i="9"/>
  <c r="X190" i="9"/>
  <c r="X191" i="9"/>
  <c r="X192" i="9"/>
  <c r="X193" i="9"/>
  <c r="X194" i="9"/>
  <c r="X195" i="9"/>
  <c r="X196" i="9"/>
  <c r="X197" i="9"/>
  <c r="X198" i="9"/>
  <c r="X199" i="9"/>
  <c r="X200" i="9"/>
  <c r="X201" i="9"/>
  <c r="X202" i="9"/>
  <c r="X203" i="9"/>
  <c r="X204" i="9"/>
  <c r="X205" i="9"/>
  <c r="X206" i="9"/>
  <c r="X207" i="9"/>
  <c r="X208" i="9"/>
  <c r="X209" i="9"/>
  <c r="Y2" i="9"/>
  <c r="X2" i="9"/>
  <c r="T5" i="9"/>
  <c r="T18" i="9"/>
  <c r="T66" i="9"/>
  <c r="T97" i="9"/>
  <c r="T131" i="9"/>
  <c r="T194" i="9"/>
  <c r="O2" i="9"/>
  <c r="M3" i="9"/>
  <c r="P3" i="9" s="1"/>
  <c r="M4" i="9"/>
  <c r="T4" i="9" s="1"/>
  <c r="M5" i="9"/>
  <c r="O5" i="9" s="1"/>
  <c r="M6" i="9"/>
  <c r="T6" i="9" s="1"/>
  <c r="M7" i="9"/>
  <c r="R7" i="9" s="1"/>
  <c r="M8" i="9"/>
  <c r="R8" i="9" s="1"/>
  <c r="M9" i="9"/>
  <c r="R9" i="9" s="1"/>
  <c r="M10" i="9"/>
  <c r="R10" i="9" s="1"/>
  <c r="M11" i="9"/>
  <c r="R11" i="9" s="1"/>
  <c r="M12" i="9"/>
  <c r="R12" i="9" s="1"/>
  <c r="M13" i="9"/>
  <c r="R13" i="9" s="1"/>
  <c r="M14" i="9"/>
  <c r="Q14" i="9" s="1"/>
  <c r="M15" i="9"/>
  <c r="R15" i="9" s="1"/>
  <c r="M16" i="9"/>
  <c r="R16" i="9" s="1"/>
  <c r="M17" i="9"/>
  <c r="R17" i="9" s="1"/>
  <c r="M18" i="9"/>
  <c r="P18" i="9" s="1"/>
  <c r="M19" i="9"/>
  <c r="P19" i="9" s="1"/>
  <c r="M20" i="9"/>
  <c r="S20" i="9" s="1"/>
  <c r="M21" i="9"/>
  <c r="O21" i="9" s="1"/>
  <c r="M22" i="9"/>
  <c r="T22" i="9" s="1"/>
  <c r="M23" i="9"/>
  <c r="R23" i="9" s="1"/>
  <c r="M24" i="9"/>
  <c r="R24" i="9" s="1"/>
  <c r="M25" i="9"/>
  <c r="R25" i="9" s="1"/>
  <c r="M26" i="9"/>
  <c r="R26" i="9" s="1"/>
  <c r="M27" i="9"/>
  <c r="R27" i="9" s="1"/>
  <c r="M28" i="9"/>
  <c r="R28" i="9" s="1"/>
  <c r="M29" i="9"/>
  <c r="R29" i="9" s="1"/>
  <c r="M30" i="9"/>
  <c r="Q30" i="9" s="1"/>
  <c r="M31" i="9"/>
  <c r="R31" i="9" s="1"/>
  <c r="M32" i="9"/>
  <c r="R32" i="9" s="1"/>
  <c r="M33" i="9"/>
  <c r="R33" i="9" s="1"/>
  <c r="M34" i="9"/>
  <c r="R34" i="9" s="1"/>
  <c r="M35" i="9"/>
  <c r="P35" i="9" s="1"/>
  <c r="M36" i="9"/>
  <c r="T36" i="9" s="1"/>
  <c r="M37" i="9"/>
  <c r="O37" i="9" s="1"/>
  <c r="M38" i="9"/>
  <c r="T38" i="9" s="1"/>
  <c r="M39" i="9"/>
  <c r="R39" i="9" s="1"/>
  <c r="M40" i="9"/>
  <c r="R40" i="9" s="1"/>
  <c r="M41" i="9"/>
  <c r="R41" i="9" s="1"/>
  <c r="M42" i="9"/>
  <c r="R42" i="9" s="1"/>
  <c r="M43" i="9"/>
  <c r="R43" i="9" s="1"/>
  <c r="M44" i="9"/>
  <c r="R44" i="9" s="1"/>
  <c r="M45" i="9"/>
  <c r="R45" i="9" s="1"/>
  <c r="M46" i="9"/>
  <c r="Q46" i="9" s="1"/>
  <c r="M47" i="9"/>
  <c r="R47" i="9" s="1"/>
  <c r="M48" i="9"/>
  <c r="R48" i="9" s="1"/>
  <c r="M49" i="9"/>
  <c r="R49" i="9" s="1"/>
  <c r="M50" i="9"/>
  <c r="P50" i="9" s="1"/>
  <c r="M51" i="9"/>
  <c r="P51" i="9" s="1"/>
  <c r="M52" i="9"/>
  <c r="T52" i="9" s="1"/>
  <c r="M53" i="9"/>
  <c r="O53" i="9" s="1"/>
  <c r="M54" i="9"/>
  <c r="T54" i="9" s="1"/>
  <c r="M55" i="9"/>
  <c r="R55" i="9" s="1"/>
  <c r="M56" i="9"/>
  <c r="R56" i="9" s="1"/>
  <c r="M57" i="9"/>
  <c r="R57" i="9" s="1"/>
  <c r="M58" i="9"/>
  <c r="R58" i="9" s="1"/>
  <c r="M59" i="9"/>
  <c r="R59" i="9" s="1"/>
  <c r="M60" i="9"/>
  <c r="R60" i="9" s="1"/>
  <c r="M61" i="9"/>
  <c r="R61" i="9" s="1"/>
  <c r="M62" i="9"/>
  <c r="Q62" i="9" s="1"/>
  <c r="M63" i="9"/>
  <c r="R63" i="9" s="1"/>
  <c r="M64" i="9"/>
  <c r="R64" i="9" s="1"/>
  <c r="M65" i="9"/>
  <c r="R65" i="9" s="1"/>
  <c r="M66" i="9"/>
  <c r="P66" i="9" s="1"/>
  <c r="M67" i="9"/>
  <c r="P67" i="9" s="1"/>
  <c r="M68" i="9"/>
  <c r="S68" i="9" s="1"/>
  <c r="M69" i="9"/>
  <c r="O69" i="9" s="1"/>
  <c r="M70" i="9"/>
  <c r="T70" i="9" s="1"/>
  <c r="M71" i="9"/>
  <c r="R71" i="9" s="1"/>
  <c r="M72" i="9"/>
  <c r="R72" i="9" s="1"/>
  <c r="M73" i="9"/>
  <c r="R73" i="9" s="1"/>
  <c r="M74" i="9"/>
  <c r="R74" i="9" s="1"/>
  <c r="M75" i="9"/>
  <c r="R75" i="9" s="1"/>
  <c r="M76" i="9"/>
  <c r="R76" i="9" s="1"/>
  <c r="M77" i="9"/>
  <c r="R77" i="9" s="1"/>
  <c r="M78" i="9"/>
  <c r="Q78" i="9" s="1"/>
  <c r="M79" i="9"/>
  <c r="R79" i="9" s="1"/>
  <c r="M80" i="9"/>
  <c r="R80" i="9" s="1"/>
  <c r="M81" i="9"/>
  <c r="R81" i="9" s="1"/>
  <c r="M82" i="9"/>
  <c r="P82" i="9" s="1"/>
  <c r="M83" i="9"/>
  <c r="P83" i="9" s="1"/>
  <c r="M84" i="9"/>
  <c r="T84" i="9" s="1"/>
  <c r="M85" i="9"/>
  <c r="O85" i="9" s="1"/>
  <c r="M86" i="9"/>
  <c r="T86" i="9" s="1"/>
  <c r="M87" i="9"/>
  <c r="R87" i="9" s="1"/>
  <c r="M88" i="9"/>
  <c r="R88" i="9" s="1"/>
  <c r="M89" i="9"/>
  <c r="R89" i="9" s="1"/>
  <c r="M90" i="9"/>
  <c r="R90" i="9" s="1"/>
  <c r="M91" i="9"/>
  <c r="R91" i="9" s="1"/>
  <c r="M92" i="9"/>
  <c r="R92" i="9" s="1"/>
  <c r="M93" i="9"/>
  <c r="R93" i="9" s="1"/>
  <c r="M94" i="9"/>
  <c r="Q94" i="9" s="1"/>
  <c r="M95" i="9"/>
  <c r="R95" i="9" s="1"/>
  <c r="M96" i="9"/>
  <c r="R96" i="9" s="1"/>
  <c r="M97" i="9"/>
  <c r="R97" i="9" s="1"/>
  <c r="M98" i="9"/>
  <c r="Q98" i="9" s="1"/>
  <c r="M99" i="9"/>
  <c r="P99" i="9" s="1"/>
  <c r="M100" i="9"/>
  <c r="T100" i="9" s="1"/>
  <c r="M101" i="9"/>
  <c r="O101" i="9" s="1"/>
  <c r="M102" i="9"/>
  <c r="T102" i="9" s="1"/>
  <c r="M103" i="9"/>
  <c r="R103" i="9" s="1"/>
  <c r="M104" i="9"/>
  <c r="R104" i="9" s="1"/>
  <c r="M105" i="9"/>
  <c r="R105" i="9" s="1"/>
  <c r="M106" i="9"/>
  <c r="R106" i="9" s="1"/>
  <c r="M107" i="9"/>
  <c r="R107" i="9" s="1"/>
  <c r="M108" i="9"/>
  <c r="R108" i="9" s="1"/>
  <c r="M109" i="9"/>
  <c r="R109" i="9" s="1"/>
  <c r="M110" i="9"/>
  <c r="Q110" i="9" s="1"/>
  <c r="M111" i="9"/>
  <c r="R111" i="9" s="1"/>
  <c r="M112" i="9"/>
  <c r="R112" i="9" s="1"/>
  <c r="M113" i="9"/>
  <c r="R113" i="9" s="1"/>
  <c r="M114" i="9"/>
  <c r="R114" i="9" s="1"/>
  <c r="M115" i="9"/>
  <c r="P115" i="9" s="1"/>
  <c r="M116" i="9"/>
  <c r="T116" i="9" s="1"/>
  <c r="M117" i="9"/>
  <c r="O117" i="9" s="1"/>
  <c r="M118" i="9"/>
  <c r="T118" i="9" s="1"/>
  <c r="M119" i="9"/>
  <c r="R119" i="9" s="1"/>
  <c r="M120" i="9"/>
  <c r="R120" i="9" s="1"/>
  <c r="M121" i="9"/>
  <c r="R121" i="9" s="1"/>
  <c r="M122" i="9"/>
  <c r="R122" i="9" s="1"/>
  <c r="M123" i="9"/>
  <c r="R123" i="9" s="1"/>
  <c r="M124" i="9"/>
  <c r="R124" i="9" s="1"/>
  <c r="M125" i="9"/>
  <c r="R125" i="9" s="1"/>
  <c r="M126" i="9"/>
  <c r="Q126" i="9" s="1"/>
  <c r="M127" i="9"/>
  <c r="R127" i="9" s="1"/>
  <c r="M128" i="9"/>
  <c r="R128" i="9" s="1"/>
  <c r="M129" i="9"/>
  <c r="R129" i="9" s="1"/>
  <c r="M130" i="9"/>
  <c r="R130" i="9" s="1"/>
  <c r="M131" i="9"/>
  <c r="P131" i="9" s="1"/>
  <c r="M132" i="9"/>
  <c r="T132" i="9" s="1"/>
  <c r="M133" i="9"/>
  <c r="O133" i="9" s="1"/>
  <c r="M134" i="9"/>
  <c r="T134" i="9" s="1"/>
  <c r="M135" i="9"/>
  <c r="R135" i="9" s="1"/>
  <c r="M136" i="9"/>
  <c r="R136" i="9" s="1"/>
  <c r="M137" i="9"/>
  <c r="R137" i="9" s="1"/>
  <c r="M138" i="9"/>
  <c r="R138" i="9" s="1"/>
  <c r="M139" i="9"/>
  <c r="R139" i="9" s="1"/>
  <c r="M140" i="9"/>
  <c r="R140" i="9" s="1"/>
  <c r="M141" i="9"/>
  <c r="R141" i="9" s="1"/>
  <c r="M142" i="9"/>
  <c r="Q142" i="9" s="1"/>
  <c r="M143" i="9"/>
  <c r="R143" i="9" s="1"/>
  <c r="M144" i="9"/>
  <c r="R144" i="9" s="1"/>
  <c r="M145" i="9"/>
  <c r="R145" i="9" s="1"/>
  <c r="M146" i="9"/>
  <c r="Q146" i="9" s="1"/>
  <c r="M147" i="9"/>
  <c r="P147" i="9" s="1"/>
  <c r="M148" i="9"/>
  <c r="T148" i="9" s="1"/>
  <c r="M149" i="9"/>
  <c r="O149" i="9" s="1"/>
  <c r="M150" i="9"/>
  <c r="T150" i="9" s="1"/>
  <c r="M151" i="9"/>
  <c r="R151" i="9" s="1"/>
  <c r="M152" i="9"/>
  <c r="R152" i="9" s="1"/>
  <c r="M153" i="9"/>
  <c r="R153" i="9" s="1"/>
  <c r="M154" i="9"/>
  <c r="R154" i="9" s="1"/>
  <c r="M155" i="9"/>
  <c r="R155" i="9" s="1"/>
  <c r="M156" i="9"/>
  <c r="R156" i="9" s="1"/>
  <c r="M157" i="9"/>
  <c r="R157" i="9" s="1"/>
  <c r="M158" i="9"/>
  <c r="Q158" i="9" s="1"/>
  <c r="M159" i="9"/>
  <c r="R159" i="9" s="1"/>
  <c r="M160" i="9"/>
  <c r="R160" i="9" s="1"/>
  <c r="M161" i="9"/>
  <c r="R161" i="9" s="1"/>
  <c r="M162" i="9"/>
  <c r="P162" i="9" s="1"/>
  <c r="M163" i="9"/>
  <c r="P163" i="9" s="1"/>
  <c r="M164" i="9"/>
  <c r="T164" i="9" s="1"/>
  <c r="M165" i="9"/>
  <c r="O165" i="9" s="1"/>
  <c r="M166" i="9"/>
  <c r="T166" i="9" s="1"/>
  <c r="M167" i="9"/>
  <c r="R167" i="9" s="1"/>
  <c r="M168" i="9"/>
  <c r="R168" i="9" s="1"/>
  <c r="M169" i="9"/>
  <c r="R169" i="9" s="1"/>
  <c r="M170" i="9"/>
  <c r="R170" i="9" s="1"/>
  <c r="M171" i="9"/>
  <c r="R171" i="9" s="1"/>
  <c r="M172" i="9"/>
  <c r="R172" i="9" s="1"/>
  <c r="M173" i="9"/>
  <c r="R173" i="9" s="1"/>
  <c r="M174" i="9"/>
  <c r="Q174" i="9" s="1"/>
  <c r="M175" i="9"/>
  <c r="R175" i="9" s="1"/>
  <c r="M176" i="9"/>
  <c r="R176" i="9" s="1"/>
  <c r="M177" i="9"/>
  <c r="R177" i="9" s="1"/>
  <c r="M178" i="9"/>
  <c r="R178" i="9" s="1"/>
  <c r="M179" i="9"/>
  <c r="P179" i="9" s="1"/>
  <c r="M180" i="9"/>
  <c r="T180" i="9" s="1"/>
  <c r="M181" i="9"/>
  <c r="O181" i="9" s="1"/>
  <c r="M182" i="9"/>
  <c r="T182" i="9" s="1"/>
  <c r="M183" i="9"/>
  <c r="R183" i="9" s="1"/>
  <c r="M184" i="9"/>
  <c r="R184" i="9" s="1"/>
  <c r="M185" i="9"/>
  <c r="R185" i="9" s="1"/>
  <c r="M186" i="9"/>
  <c r="R186" i="9" s="1"/>
  <c r="M187" i="9"/>
  <c r="R187" i="9" s="1"/>
  <c r="M188" i="9"/>
  <c r="R188" i="9" s="1"/>
  <c r="M189" i="9"/>
  <c r="R189" i="9" s="1"/>
  <c r="M190" i="9"/>
  <c r="Q190" i="9" s="1"/>
  <c r="M191" i="9"/>
  <c r="R191" i="9" s="1"/>
  <c r="M192" i="9"/>
  <c r="R192" i="9" s="1"/>
  <c r="M193" i="9"/>
  <c r="R193" i="9" s="1"/>
  <c r="M194" i="9"/>
  <c r="Q194" i="9" s="1"/>
  <c r="M195" i="9"/>
  <c r="P195" i="9" s="1"/>
  <c r="M196" i="9"/>
  <c r="S196" i="9" s="1"/>
  <c r="M197" i="9"/>
  <c r="O197" i="9" s="1"/>
  <c r="M198" i="9"/>
  <c r="T198" i="9" s="1"/>
  <c r="M199" i="9"/>
  <c r="R199" i="9" s="1"/>
  <c r="M200" i="9"/>
  <c r="R200" i="9" s="1"/>
  <c r="M201" i="9"/>
  <c r="R201" i="9" s="1"/>
  <c r="M202" i="9"/>
  <c r="R202" i="9" s="1"/>
  <c r="M203" i="9"/>
  <c r="R203" i="9" s="1"/>
  <c r="M204" i="9"/>
  <c r="R204" i="9" s="1"/>
  <c r="M205" i="9"/>
  <c r="R205" i="9" s="1"/>
  <c r="M206" i="9"/>
  <c r="Q206" i="9" s="1"/>
  <c r="M207" i="9"/>
  <c r="R207" i="9" s="1"/>
  <c r="M208" i="9"/>
  <c r="R208" i="9" s="1"/>
  <c r="M209" i="9"/>
  <c r="R209" i="9" s="1"/>
  <c r="M2" i="9"/>
  <c r="P2" i="9" s="1"/>
  <c r="T121" i="9" l="1"/>
  <c r="T108" i="9"/>
  <c r="T101" i="9"/>
  <c r="T99" i="9"/>
  <c r="T69" i="9"/>
  <c r="T12" i="9"/>
  <c r="S113" i="9"/>
  <c r="O208" i="9"/>
  <c r="S99" i="9"/>
  <c r="O194" i="9"/>
  <c r="O192" i="9"/>
  <c r="T2" i="9"/>
  <c r="O146" i="9"/>
  <c r="T92" i="9"/>
  <c r="T201" i="9"/>
  <c r="O156" i="9"/>
  <c r="T179" i="9"/>
  <c r="T65" i="9"/>
  <c r="O145" i="9"/>
  <c r="Q156" i="9"/>
  <c r="T177" i="9"/>
  <c r="T60" i="9"/>
  <c r="O140" i="9"/>
  <c r="T53" i="9"/>
  <c r="O97" i="9"/>
  <c r="T153" i="9"/>
  <c r="T44" i="9"/>
  <c r="O96" i="9"/>
  <c r="T169" i="9"/>
  <c r="T145" i="9"/>
  <c r="T34" i="9"/>
  <c r="O50" i="9"/>
  <c r="R85" i="9"/>
  <c r="T140" i="9"/>
  <c r="T29" i="9"/>
  <c r="O48" i="9"/>
  <c r="R62" i="9"/>
  <c r="T137" i="9"/>
  <c r="T28" i="9"/>
  <c r="O44" i="9"/>
  <c r="S62" i="9"/>
  <c r="S206" i="9"/>
  <c r="T21" i="9"/>
  <c r="O34" i="9"/>
  <c r="R14" i="9"/>
  <c r="P140" i="9"/>
  <c r="T181" i="9"/>
  <c r="T146" i="9"/>
  <c r="T109" i="9"/>
  <c r="T73" i="9"/>
  <c r="T35" i="9"/>
  <c r="O209" i="9"/>
  <c r="O160" i="9"/>
  <c r="O108" i="9"/>
  <c r="O59" i="9"/>
  <c r="P123" i="9"/>
  <c r="O107" i="9"/>
  <c r="S163" i="9"/>
  <c r="P76" i="9"/>
  <c r="T178" i="9"/>
  <c r="T141" i="9"/>
  <c r="T105" i="9"/>
  <c r="T67" i="9"/>
  <c r="T33" i="9"/>
  <c r="O204" i="9"/>
  <c r="O155" i="9"/>
  <c r="O98" i="9"/>
  <c r="O49" i="9"/>
  <c r="T173" i="9"/>
  <c r="S83" i="9"/>
  <c r="T209" i="9"/>
  <c r="T172" i="9"/>
  <c r="T133" i="9"/>
  <c r="T98" i="9"/>
  <c r="T61" i="9"/>
  <c r="T25" i="9"/>
  <c r="O193" i="9"/>
  <c r="O144" i="9"/>
  <c r="O92" i="9"/>
  <c r="O43" i="9"/>
  <c r="T205" i="9"/>
  <c r="O91" i="9"/>
  <c r="O203" i="9"/>
  <c r="Q162" i="9"/>
  <c r="T204" i="9"/>
  <c r="T165" i="9"/>
  <c r="T130" i="9"/>
  <c r="T93" i="9"/>
  <c r="T57" i="9"/>
  <c r="T19" i="9"/>
  <c r="O188" i="9"/>
  <c r="O139" i="9"/>
  <c r="O82" i="9"/>
  <c r="O33" i="9"/>
  <c r="T163" i="9"/>
  <c r="T129" i="9"/>
  <c r="O187" i="9"/>
  <c r="O130" i="9"/>
  <c r="O81" i="9"/>
  <c r="O32" i="9"/>
  <c r="Q140" i="9"/>
  <c r="T197" i="9"/>
  <c r="T162" i="9"/>
  <c r="T125" i="9"/>
  <c r="T89" i="9"/>
  <c r="T51" i="9"/>
  <c r="T17" i="9"/>
  <c r="O178" i="9"/>
  <c r="O129" i="9"/>
  <c r="O80" i="9"/>
  <c r="O28" i="9"/>
  <c r="Q99" i="9"/>
  <c r="T195" i="9"/>
  <c r="T161" i="9"/>
  <c r="T124" i="9"/>
  <c r="T85" i="9"/>
  <c r="T50" i="9"/>
  <c r="T13" i="9"/>
  <c r="O177" i="9"/>
  <c r="O128" i="9"/>
  <c r="O76" i="9"/>
  <c r="O27" i="9"/>
  <c r="Q83" i="9"/>
  <c r="N83" i="9" s="1"/>
  <c r="T157" i="9"/>
  <c r="T83" i="9"/>
  <c r="T49" i="9"/>
  <c r="O176" i="9"/>
  <c r="O124" i="9"/>
  <c r="O75" i="9"/>
  <c r="O18" i="9"/>
  <c r="R206" i="9"/>
  <c r="Q61" i="9"/>
  <c r="T193" i="9"/>
  <c r="T156" i="9"/>
  <c r="T117" i="9"/>
  <c r="T82" i="9"/>
  <c r="T45" i="9"/>
  <c r="T9" i="9"/>
  <c r="O172" i="9"/>
  <c r="O123" i="9"/>
  <c r="O66" i="9"/>
  <c r="O17" i="9"/>
  <c r="Q13" i="9"/>
  <c r="T189" i="9"/>
  <c r="T115" i="9"/>
  <c r="T81" i="9"/>
  <c r="O171" i="9"/>
  <c r="O114" i="9"/>
  <c r="O65" i="9"/>
  <c r="O16" i="9"/>
  <c r="R83" i="9"/>
  <c r="P204" i="9"/>
  <c r="T188" i="9"/>
  <c r="T149" i="9"/>
  <c r="T114" i="9"/>
  <c r="T77" i="9"/>
  <c r="T41" i="9"/>
  <c r="T3" i="9"/>
  <c r="O162" i="9"/>
  <c r="O113" i="9"/>
  <c r="O64" i="9"/>
  <c r="O12" i="9"/>
  <c r="P187" i="9"/>
  <c r="T185" i="9"/>
  <c r="T147" i="9"/>
  <c r="T113" i="9"/>
  <c r="T76" i="9"/>
  <c r="T37" i="9"/>
  <c r="O161" i="9"/>
  <c r="O112" i="9"/>
  <c r="O60" i="9"/>
  <c r="O11" i="9"/>
  <c r="R50" i="9"/>
  <c r="S82" i="9"/>
  <c r="Q131" i="9"/>
  <c r="P156" i="9"/>
  <c r="T208" i="9"/>
  <c r="T192" i="9"/>
  <c r="T176" i="9"/>
  <c r="T160" i="9"/>
  <c r="T144" i="9"/>
  <c r="T128" i="9"/>
  <c r="T112" i="9"/>
  <c r="T96" i="9"/>
  <c r="T80" i="9"/>
  <c r="T64" i="9"/>
  <c r="T48" i="9"/>
  <c r="T32" i="9"/>
  <c r="T16" i="9"/>
  <c r="O207" i="9"/>
  <c r="O191" i="9"/>
  <c r="O175" i="9"/>
  <c r="O159" i="9"/>
  <c r="O143" i="9"/>
  <c r="O127" i="9"/>
  <c r="O111" i="9"/>
  <c r="O95" i="9"/>
  <c r="O79" i="9"/>
  <c r="O63" i="9"/>
  <c r="O47" i="9"/>
  <c r="O31" i="9"/>
  <c r="O15" i="9"/>
  <c r="P178" i="9"/>
  <c r="R46" i="9"/>
  <c r="S78" i="9"/>
  <c r="Q114" i="9"/>
  <c r="P155" i="9"/>
  <c r="T207" i="9"/>
  <c r="T191" i="9"/>
  <c r="T175" i="9"/>
  <c r="T159" i="9"/>
  <c r="T143" i="9"/>
  <c r="T127" i="9"/>
  <c r="T111" i="9"/>
  <c r="T95" i="9"/>
  <c r="T79" i="9"/>
  <c r="T63" i="9"/>
  <c r="T47" i="9"/>
  <c r="T31" i="9"/>
  <c r="T15" i="9"/>
  <c r="O206" i="9"/>
  <c r="O190" i="9"/>
  <c r="O174" i="9"/>
  <c r="O158" i="9"/>
  <c r="O142" i="9"/>
  <c r="O126" i="9"/>
  <c r="O110" i="9"/>
  <c r="O94" i="9"/>
  <c r="O78" i="9"/>
  <c r="O62" i="9"/>
  <c r="O46" i="9"/>
  <c r="O30" i="9"/>
  <c r="O14" i="9"/>
  <c r="R18" i="9"/>
  <c r="S65" i="9"/>
  <c r="Q113" i="9"/>
  <c r="T206" i="9"/>
  <c r="T190" i="9"/>
  <c r="T174" i="9"/>
  <c r="T158" i="9"/>
  <c r="T142" i="9"/>
  <c r="T126" i="9"/>
  <c r="T110" i="9"/>
  <c r="T94" i="9"/>
  <c r="T78" i="9"/>
  <c r="T62" i="9"/>
  <c r="T46" i="9"/>
  <c r="T30" i="9"/>
  <c r="T14" i="9"/>
  <c r="O205" i="9"/>
  <c r="O189" i="9"/>
  <c r="O173" i="9"/>
  <c r="O157" i="9"/>
  <c r="O141" i="9"/>
  <c r="O125" i="9"/>
  <c r="O109" i="9"/>
  <c r="O93" i="9"/>
  <c r="O77" i="9"/>
  <c r="O61" i="9"/>
  <c r="O45" i="9"/>
  <c r="O29" i="9"/>
  <c r="O13" i="9"/>
  <c r="R194" i="9"/>
  <c r="R190" i="9"/>
  <c r="S190" i="9"/>
  <c r="S34" i="9"/>
  <c r="Q82" i="9"/>
  <c r="P92" i="9"/>
  <c r="T203" i="9"/>
  <c r="T187" i="9"/>
  <c r="T171" i="9"/>
  <c r="T155" i="9"/>
  <c r="T139" i="9"/>
  <c r="T123" i="9"/>
  <c r="T107" i="9"/>
  <c r="T91" i="9"/>
  <c r="T75" i="9"/>
  <c r="T59" i="9"/>
  <c r="T43" i="9"/>
  <c r="T27" i="9"/>
  <c r="T11" i="9"/>
  <c r="O202" i="9"/>
  <c r="O186" i="9"/>
  <c r="O170" i="9"/>
  <c r="O154" i="9"/>
  <c r="O138" i="9"/>
  <c r="O122" i="9"/>
  <c r="O106" i="9"/>
  <c r="O90" i="9"/>
  <c r="O74" i="9"/>
  <c r="O58" i="9"/>
  <c r="O42" i="9"/>
  <c r="O26" i="9"/>
  <c r="O10" i="9"/>
  <c r="P114" i="9"/>
  <c r="R163" i="9"/>
  <c r="S189" i="9"/>
  <c r="S33" i="9"/>
  <c r="Q65" i="9"/>
  <c r="P91" i="9"/>
  <c r="T202" i="9"/>
  <c r="T186" i="9"/>
  <c r="T170" i="9"/>
  <c r="T154" i="9"/>
  <c r="T138" i="9"/>
  <c r="T122" i="9"/>
  <c r="T106" i="9"/>
  <c r="T90" i="9"/>
  <c r="T74" i="9"/>
  <c r="T58" i="9"/>
  <c r="T42" i="9"/>
  <c r="T26" i="9"/>
  <c r="T10" i="9"/>
  <c r="O201" i="9"/>
  <c r="O185" i="9"/>
  <c r="O169" i="9"/>
  <c r="O153" i="9"/>
  <c r="O137" i="9"/>
  <c r="O121" i="9"/>
  <c r="O105" i="9"/>
  <c r="O89" i="9"/>
  <c r="O73" i="9"/>
  <c r="O57" i="9"/>
  <c r="O41" i="9"/>
  <c r="O25" i="9"/>
  <c r="O9" i="9"/>
  <c r="R162" i="9"/>
  <c r="S14" i="9"/>
  <c r="O200" i="9"/>
  <c r="O184" i="9"/>
  <c r="O168" i="9"/>
  <c r="O152" i="9"/>
  <c r="O136" i="9"/>
  <c r="O120" i="9"/>
  <c r="O104" i="9"/>
  <c r="O88" i="9"/>
  <c r="O72" i="9"/>
  <c r="O56" i="9"/>
  <c r="O40" i="9"/>
  <c r="O24" i="9"/>
  <c r="O8" i="9"/>
  <c r="R146" i="9"/>
  <c r="S162" i="9"/>
  <c r="S13" i="9"/>
  <c r="Q50" i="9"/>
  <c r="P60" i="9"/>
  <c r="T200" i="9"/>
  <c r="T184" i="9"/>
  <c r="T168" i="9"/>
  <c r="T152" i="9"/>
  <c r="T136" i="9"/>
  <c r="T120" i="9"/>
  <c r="T104" i="9"/>
  <c r="T88" i="9"/>
  <c r="T72" i="9"/>
  <c r="T56" i="9"/>
  <c r="T40" i="9"/>
  <c r="T24" i="9"/>
  <c r="T8" i="9"/>
  <c r="O199" i="9"/>
  <c r="O183" i="9"/>
  <c r="O167" i="9"/>
  <c r="O151" i="9"/>
  <c r="O135" i="9"/>
  <c r="O119" i="9"/>
  <c r="O103" i="9"/>
  <c r="O87" i="9"/>
  <c r="O71" i="9"/>
  <c r="O55" i="9"/>
  <c r="O39" i="9"/>
  <c r="O23" i="9"/>
  <c r="O7" i="9"/>
  <c r="R131" i="9"/>
  <c r="S157" i="9"/>
  <c r="Q205" i="9"/>
  <c r="Q34" i="9"/>
  <c r="P59" i="9"/>
  <c r="T199" i="9"/>
  <c r="T183" i="9"/>
  <c r="T167" i="9"/>
  <c r="T151" i="9"/>
  <c r="T135" i="9"/>
  <c r="T119" i="9"/>
  <c r="T103" i="9"/>
  <c r="T87" i="9"/>
  <c r="T71" i="9"/>
  <c r="T55" i="9"/>
  <c r="T39" i="9"/>
  <c r="T23" i="9"/>
  <c r="T7" i="9"/>
  <c r="O198" i="9"/>
  <c r="O182" i="9"/>
  <c r="O166" i="9"/>
  <c r="O150" i="9"/>
  <c r="O134" i="9"/>
  <c r="O118" i="9"/>
  <c r="O102" i="9"/>
  <c r="O86" i="9"/>
  <c r="O70" i="9"/>
  <c r="O54" i="9"/>
  <c r="O38" i="9"/>
  <c r="O22" i="9"/>
  <c r="O6" i="9"/>
  <c r="S50" i="9"/>
  <c r="R126" i="9"/>
  <c r="S141" i="9"/>
  <c r="Q189" i="9"/>
  <c r="Q33" i="9"/>
  <c r="P34" i="9"/>
  <c r="R115" i="9"/>
  <c r="S131" i="9"/>
  <c r="Q188" i="9"/>
  <c r="P33" i="9"/>
  <c r="O196" i="9"/>
  <c r="O180" i="9"/>
  <c r="O164" i="9"/>
  <c r="O148" i="9"/>
  <c r="O132" i="9"/>
  <c r="O116" i="9"/>
  <c r="O100" i="9"/>
  <c r="O84" i="9"/>
  <c r="O68" i="9"/>
  <c r="O52" i="9"/>
  <c r="O36" i="9"/>
  <c r="O20" i="9"/>
  <c r="O4" i="9"/>
  <c r="R110" i="9"/>
  <c r="S114" i="9"/>
  <c r="Q163" i="9"/>
  <c r="Q12" i="9"/>
  <c r="P27" i="9"/>
  <c r="T196" i="9"/>
  <c r="T68" i="9"/>
  <c r="T20" i="9"/>
  <c r="O195" i="9"/>
  <c r="O179" i="9"/>
  <c r="O163" i="9"/>
  <c r="O147" i="9"/>
  <c r="O131" i="9"/>
  <c r="O115" i="9"/>
  <c r="O99" i="9"/>
  <c r="O83" i="9"/>
  <c r="O67" i="9"/>
  <c r="O51" i="9"/>
  <c r="O35" i="9"/>
  <c r="O19" i="9"/>
  <c r="O3" i="9"/>
  <c r="R181" i="9"/>
  <c r="R35" i="9"/>
  <c r="S179" i="9"/>
  <c r="S130" i="9"/>
  <c r="S81" i="9"/>
  <c r="S30" i="9"/>
  <c r="Q179" i="9"/>
  <c r="Q130" i="9"/>
  <c r="Q81" i="9"/>
  <c r="Q29" i="9"/>
  <c r="P177" i="9"/>
  <c r="P113" i="9"/>
  <c r="R179" i="9"/>
  <c r="S178" i="9"/>
  <c r="S129" i="9"/>
  <c r="S29" i="9"/>
  <c r="Q178" i="9"/>
  <c r="Q129" i="9"/>
  <c r="Q77" i="9"/>
  <c r="Q28" i="9"/>
  <c r="P172" i="9"/>
  <c r="P108" i="9"/>
  <c r="P49" i="9"/>
  <c r="R99" i="9"/>
  <c r="R30" i="9"/>
  <c r="S177" i="9"/>
  <c r="S126" i="9"/>
  <c r="S77" i="9"/>
  <c r="S19" i="9"/>
  <c r="Q177" i="9"/>
  <c r="Q125" i="9"/>
  <c r="Q76" i="9"/>
  <c r="Q19" i="9"/>
  <c r="P171" i="9"/>
  <c r="P107" i="9"/>
  <c r="P48" i="9"/>
  <c r="R174" i="9"/>
  <c r="R98" i="9"/>
  <c r="R21" i="9"/>
  <c r="S174" i="9"/>
  <c r="S125" i="9"/>
  <c r="S67" i="9"/>
  <c r="S18" i="9"/>
  <c r="Q173" i="9"/>
  <c r="Q124" i="9"/>
  <c r="Q67" i="9"/>
  <c r="Q18" i="9"/>
  <c r="P98" i="9"/>
  <c r="P44" i="9"/>
  <c r="R165" i="9"/>
  <c r="R94" i="9"/>
  <c r="R19" i="9"/>
  <c r="S173" i="9"/>
  <c r="S115" i="9"/>
  <c r="S66" i="9"/>
  <c r="S17" i="9"/>
  <c r="Q172" i="9"/>
  <c r="Q115" i="9"/>
  <c r="Q66" i="9"/>
  <c r="Q17" i="9"/>
  <c r="P161" i="9"/>
  <c r="P97" i="9"/>
  <c r="P43" i="9"/>
  <c r="R158" i="9"/>
  <c r="R82" i="9"/>
  <c r="R3" i="9"/>
  <c r="S161" i="9"/>
  <c r="S110" i="9"/>
  <c r="S61" i="9"/>
  <c r="S3" i="9"/>
  <c r="Q161" i="9"/>
  <c r="Q109" i="9"/>
  <c r="Q60" i="9"/>
  <c r="Q3" i="9"/>
  <c r="P146" i="9"/>
  <c r="P32" i="9"/>
  <c r="R147" i="9"/>
  <c r="R78" i="9"/>
  <c r="S209" i="9"/>
  <c r="S158" i="9"/>
  <c r="S109" i="9"/>
  <c r="S51" i="9"/>
  <c r="Q209" i="9"/>
  <c r="Q157" i="9"/>
  <c r="Q108" i="9"/>
  <c r="Q51" i="9"/>
  <c r="P209" i="9"/>
  <c r="P145" i="9"/>
  <c r="P81" i="9"/>
  <c r="P28" i="9"/>
  <c r="R69" i="9"/>
  <c r="R142" i="9"/>
  <c r="R67" i="9"/>
  <c r="S205" i="9"/>
  <c r="S147" i="9"/>
  <c r="S98" i="9"/>
  <c r="S49" i="9"/>
  <c r="Q204" i="9"/>
  <c r="Q147" i="9"/>
  <c r="Q49" i="9"/>
  <c r="P203" i="9"/>
  <c r="P139" i="9"/>
  <c r="P75" i="9"/>
  <c r="R133" i="9"/>
  <c r="R66" i="9"/>
  <c r="S195" i="9"/>
  <c r="S146" i="9"/>
  <c r="S97" i="9"/>
  <c r="S46" i="9"/>
  <c r="Q195" i="9"/>
  <c r="Q97" i="9"/>
  <c r="Q45" i="9"/>
  <c r="P194" i="9"/>
  <c r="P130" i="9"/>
  <c r="P17" i="9"/>
  <c r="S194" i="9"/>
  <c r="S145" i="9"/>
  <c r="S94" i="9"/>
  <c r="S45" i="9"/>
  <c r="Q145" i="9"/>
  <c r="Q93" i="9"/>
  <c r="Q44" i="9"/>
  <c r="P193" i="9"/>
  <c r="P129" i="9"/>
  <c r="P65" i="9"/>
  <c r="P12" i="9"/>
  <c r="R195" i="9"/>
  <c r="R51" i="9"/>
  <c r="S193" i="9"/>
  <c r="S142" i="9"/>
  <c r="S93" i="9"/>
  <c r="S35" i="9"/>
  <c r="Q193" i="9"/>
  <c r="Q141" i="9"/>
  <c r="Q92" i="9"/>
  <c r="Q35" i="9"/>
  <c r="N35" i="9" s="1"/>
  <c r="P188" i="9"/>
  <c r="P124" i="9"/>
  <c r="P64" i="9"/>
  <c r="P11" i="9"/>
  <c r="Q4" i="9"/>
  <c r="P4" i="9"/>
  <c r="S197" i="9"/>
  <c r="Q197" i="9"/>
  <c r="P197" i="9"/>
  <c r="S181" i="9"/>
  <c r="Q181" i="9"/>
  <c r="P181" i="9"/>
  <c r="S165" i="9"/>
  <c r="Q165" i="9"/>
  <c r="P165" i="9"/>
  <c r="S149" i="9"/>
  <c r="Q149" i="9"/>
  <c r="P149" i="9"/>
  <c r="S133" i="9"/>
  <c r="Q133" i="9"/>
  <c r="P133" i="9"/>
  <c r="S117" i="9"/>
  <c r="Q117" i="9"/>
  <c r="P117" i="9"/>
  <c r="S101" i="9"/>
  <c r="Q101" i="9"/>
  <c r="P101" i="9"/>
  <c r="S85" i="9"/>
  <c r="Q85" i="9"/>
  <c r="P85" i="9"/>
  <c r="S69" i="9"/>
  <c r="Q69" i="9"/>
  <c r="P69" i="9"/>
  <c r="S53" i="9"/>
  <c r="Q53" i="9"/>
  <c r="P53" i="9"/>
  <c r="S37" i="9"/>
  <c r="Q37" i="9"/>
  <c r="P37" i="9"/>
  <c r="S21" i="9"/>
  <c r="Q21" i="9"/>
  <c r="P21" i="9"/>
  <c r="S5" i="9"/>
  <c r="Q5" i="9"/>
  <c r="P5" i="9"/>
  <c r="R37" i="9"/>
  <c r="Q180" i="9"/>
  <c r="P180" i="9"/>
  <c r="Q164" i="9"/>
  <c r="P164" i="9"/>
  <c r="Q148" i="9"/>
  <c r="P148" i="9"/>
  <c r="Q132" i="9"/>
  <c r="P132" i="9"/>
  <c r="Q116" i="9"/>
  <c r="P116" i="9"/>
  <c r="Q100" i="9"/>
  <c r="P100" i="9"/>
  <c r="Q84" i="9"/>
  <c r="P84" i="9"/>
  <c r="Q68" i="9"/>
  <c r="P68" i="9"/>
  <c r="Q52" i="9"/>
  <c r="P52" i="9"/>
  <c r="N52" i="9" s="1"/>
  <c r="Q36" i="9"/>
  <c r="P36" i="9"/>
  <c r="R36" i="9"/>
  <c r="R84" i="9"/>
  <c r="S148" i="9"/>
  <c r="R132" i="9"/>
  <c r="R180" i="9"/>
  <c r="S100" i="9"/>
  <c r="Q196" i="9"/>
  <c r="P196" i="9"/>
  <c r="Q20" i="9"/>
  <c r="P20" i="9"/>
  <c r="R20" i="9"/>
  <c r="S180" i="9"/>
  <c r="S52" i="9"/>
  <c r="R117" i="9"/>
  <c r="R68" i="9"/>
  <c r="S132" i="9"/>
  <c r="R164" i="9"/>
  <c r="R5" i="9"/>
  <c r="S84" i="9"/>
  <c r="R53" i="9"/>
  <c r="R4" i="9"/>
  <c r="S4" i="9"/>
  <c r="R101" i="9"/>
  <c r="R52" i="9"/>
  <c r="S164" i="9"/>
  <c r="S36" i="9"/>
  <c r="R149" i="9"/>
  <c r="R100" i="9"/>
  <c r="R197" i="9"/>
  <c r="R148" i="9"/>
  <c r="S116" i="9"/>
  <c r="R116" i="9"/>
  <c r="R198" i="9"/>
  <c r="S198" i="9"/>
  <c r="Q198" i="9"/>
  <c r="P198" i="9"/>
  <c r="R182" i="9"/>
  <c r="S182" i="9"/>
  <c r="Q182" i="9"/>
  <c r="P182" i="9"/>
  <c r="R166" i="9"/>
  <c r="S166" i="9"/>
  <c r="Q166" i="9"/>
  <c r="P166" i="9"/>
  <c r="R150" i="9"/>
  <c r="S150" i="9"/>
  <c r="Q150" i="9"/>
  <c r="P150" i="9"/>
  <c r="R134" i="9"/>
  <c r="S134" i="9"/>
  <c r="Q134" i="9"/>
  <c r="P134" i="9"/>
  <c r="R118" i="9"/>
  <c r="S118" i="9"/>
  <c r="Q118" i="9"/>
  <c r="P118" i="9"/>
  <c r="R102" i="9"/>
  <c r="S102" i="9"/>
  <c r="Q102" i="9"/>
  <c r="P102" i="9"/>
  <c r="R86" i="9"/>
  <c r="S86" i="9"/>
  <c r="Q86" i="9"/>
  <c r="P86" i="9"/>
  <c r="R70" i="9"/>
  <c r="S70" i="9"/>
  <c r="Q70" i="9"/>
  <c r="P70" i="9"/>
  <c r="R54" i="9"/>
  <c r="S54" i="9"/>
  <c r="Q54" i="9"/>
  <c r="P54" i="9"/>
  <c r="R38" i="9"/>
  <c r="S38" i="9"/>
  <c r="Q38" i="9"/>
  <c r="P38" i="9"/>
  <c r="R22" i="9"/>
  <c r="S22" i="9"/>
  <c r="Q22" i="9"/>
  <c r="P22" i="9"/>
  <c r="R6" i="9"/>
  <c r="S6" i="9"/>
  <c r="Q6" i="9"/>
  <c r="P6" i="9"/>
  <c r="R196" i="9"/>
  <c r="P208" i="9"/>
  <c r="P192" i="9"/>
  <c r="P176" i="9"/>
  <c r="P160" i="9"/>
  <c r="P144" i="9"/>
  <c r="P128" i="9"/>
  <c r="P112" i="9"/>
  <c r="N112" i="9" s="1"/>
  <c r="P96" i="9"/>
  <c r="P80" i="9"/>
  <c r="P16" i="9"/>
  <c r="Q208" i="9"/>
  <c r="Q192" i="9"/>
  <c r="Q176" i="9"/>
  <c r="Q160" i="9"/>
  <c r="Q144" i="9"/>
  <c r="Q128" i="9"/>
  <c r="Q112" i="9"/>
  <c r="Q96" i="9"/>
  <c r="Q80" i="9"/>
  <c r="Q64" i="9"/>
  <c r="Q48" i="9"/>
  <c r="Q32" i="9"/>
  <c r="Q16" i="9"/>
  <c r="P207" i="9"/>
  <c r="P191" i="9"/>
  <c r="P175" i="9"/>
  <c r="P159" i="9"/>
  <c r="P143" i="9"/>
  <c r="P127" i="9"/>
  <c r="P111" i="9"/>
  <c r="P95" i="9"/>
  <c r="P79" i="9"/>
  <c r="P63" i="9"/>
  <c r="P47" i="9"/>
  <c r="P31" i="9"/>
  <c r="P15" i="9"/>
  <c r="S208" i="9"/>
  <c r="S192" i="9"/>
  <c r="S176" i="9"/>
  <c r="S160" i="9"/>
  <c r="S144" i="9"/>
  <c r="S128" i="9"/>
  <c r="S112" i="9"/>
  <c r="S96" i="9"/>
  <c r="S80" i="9"/>
  <c r="S64" i="9"/>
  <c r="S48" i="9"/>
  <c r="S32" i="9"/>
  <c r="S16" i="9"/>
  <c r="Q207" i="9"/>
  <c r="Q191" i="9"/>
  <c r="Q175" i="9"/>
  <c r="Q159" i="9"/>
  <c r="Q143" i="9"/>
  <c r="Q127" i="9"/>
  <c r="Q111" i="9"/>
  <c r="Q95" i="9"/>
  <c r="Q79" i="9"/>
  <c r="Q63" i="9"/>
  <c r="Q47" i="9"/>
  <c r="Q31" i="9"/>
  <c r="Q15" i="9"/>
  <c r="P206" i="9"/>
  <c r="P190" i="9"/>
  <c r="P174" i="9"/>
  <c r="P158" i="9"/>
  <c r="P142" i="9"/>
  <c r="P126" i="9"/>
  <c r="P110" i="9"/>
  <c r="P94" i="9"/>
  <c r="P78" i="9"/>
  <c r="N78" i="9" s="1"/>
  <c r="P62" i="9"/>
  <c r="P46" i="9"/>
  <c r="P30" i="9"/>
  <c r="P14" i="9"/>
  <c r="S207" i="9"/>
  <c r="S191" i="9"/>
  <c r="S175" i="9"/>
  <c r="S159" i="9"/>
  <c r="S143" i="9"/>
  <c r="S127" i="9"/>
  <c r="S111" i="9"/>
  <c r="S95" i="9"/>
  <c r="S79" i="9"/>
  <c r="S63" i="9"/>
  <c r="S47" i="9"/>
  <c r="S31" i="9"/>
  <c r="S15" i="9"/>
  <c r="P205" i="9"/>
  <c r="N205" i="9" s="1"/>
  <c r="P189" i="9"/>
  <c r="P173" i="9"/>
  <c r="P157" i="9"/>
  <c r="P141" i="9"/>
  <c r="P125" i="9"/>
  <c r="P109" i="9"/>
  <c r="P93" i="9"/>
  <c r="P77" i="9"/>
  <c r="P61" i="9"/>
  <c r="P45" i="9"/>
  <c r="P29" i="9"/>
  <c r="P13" i="9"/>
  <c r="S204" i="9"/>
  <c r="S188" i="9"/>
  <c r="S172" i="9"/>
  <c r="S156" i="9"/>
  <c r="S140" i="9"/>
  <c r="S124" i="9"/>
  <c r="S108" i="9"/>
  <c r="S92" i="9"/>
  <c r="S76" i="9"/>
  <c r="S60" i="9"/>
  <c r="S44" i="9"/>
  <c r="S28" i="9"/>
  <c r="S12" i="9"/>
  <c r="Q203" i="9"/>
  <c r="Q187" i="9"/>
  <c r="Q171" i="9"/>
  <c r="Q155" i="9"/>
  <c r="Q139" i="9"/>
  <c r="Q123" i="9"/>
  <c r="Q107" i="9"/>
  <c r="Q91" i="9"/>
  <c r="Q75" i="9"/>
  <c r="Q59" i="9"/>
  <c r="Q43" i="9"/>
  <c r="Q27" i="9"/>
  <c r="Q11" i="9"/>
  <c r="P202" i="9"/>
  <c r="P186" i="9"/>
  <c r="P170" i="9"/>
  <c r="P154" i="9"/>
  <c r="P138" i="9"/>
  <c r="P122" i="9"/>
  <c r="P106" i="9"/>
  <c r="P90" i="9"/>
  <c r="P74" i="9"/>
  <c r="P58" i="9"/>
  <c r="P42" i="9"/>
  <c r="P26" i="9"/>
  <c r="P10" i="9"/>
  <c r="S203" i="9"/>
  <c r="S187" i="9"/>
  <c r="S171" i="9"/>
  <c r="S155" i="9"/>
  <c r="S139" i="9"/>
  <c r="S123" i="9"/>
  <c r="S107" i="9"/>
  <c r="S91" i="9"/>
  <c r="S75" i="9"/>
  <c r="S59" i="9"/>
  <c r="S43" i="9"/>
  <c r="S27" i="9"/>
  <c r="S11" i="9"/>
  <c r="Q202" i="9"/>
  <c r="Q186" i="9"/>
  <c r="Q170" i="9"/>
  <c r="Q154" i="9"/>
  <c r="Q138" i="9"/>
  <c r="Q122" i="9"/>
  <c r="Q106" i="9"/>
  <c r="Q90" i="9"/>
  <c r="Q74" i="9"/>
  <c r="Q58" i="9"/>
  <c r="Q42" i="9"/>
  <c r="Q26" i="9"/>
  <c r="Q10" i="9"/>
  <c r="P201" i="9"/>
  <c r="P185" i="9"/>
  <c r="P169" i="9"/>
  <c r="P153" i="9"/>
  <c r="P137" i="9"/>
  <c r="P121" i="9"/>
  <c r="P105" i="9"/>
  <c r="P89" i="9"/>
  <c r="P73" i="9"/>
  <c r="P57" i="9"/>
  <c r="P41" i="9"/>
  <c r="P25" i="9"/>
  <c r="P9" i="9"/>
  <c r="S202" i="9"/>
  <c r="S186" i="9"/>
  <c r="S170" i="9"/>
  <c r="S154" i="9"/>
  <c r="S138" i="9"/>
  <c r="S122" i="9"/>
  <c r="S106" i="9"/>
  <c r="S90" i="9"/>
  <c r="S74" i="9"/>
  <c r="S58" i="9"/>
  <c r="S42" i="9"/>
  <c r="S26" i="9"/>
  <c r="S10" i="9"/>
  <c r="Q201" i="9"/>
  <c r="Q185" i="9"/>
  <c r="Q169" i="9"/>
  <c r="Q153" i="9"/>
  <c r="Q137" i="9"/>
  <c r="Q121" i="9"/>
  <c r="Q105" i="9"/>
  <c r="Q89" i="9"/>
  <c r="Q73" i="9"/>
  <c r="Q57" i="9"/>
  <c r="Q41" i="9"/>
  <c r="Q25" i="9"/>
  <c r="Q9" i="9"/>
  <c r="P200" i="9"/>
  <c r="P184" i="9"/>
  <c r="P168" i="9"/>
  <c r="P152" i="9"/>
  <c r="P136" i="9"/>
  <c r="P120" i="9"/>
  <c r="P104" i="9"/>
  <c r="P88" i="9"/>
  <c r="P72" i="9"/>
  <c r="P56" i="9"/>
  <c r="P40" i="9"/>
  <c r="P24" i="9"/>
  <c r="P8" i="9"/>
  <c r="S201" i="9"/>
  <c r="S185" i="9"/>
  <c r="S169" i="9"/>
  <c r="S153" i="9"/>
  <c r="S137" i="9"/>
  <c r="S121" i="9"/>
  <c r="S105" i="9"/>
  <c r="S89" i="9"/>
  <c r="S73" i="9"/>
  <c r="S57" i="9"/>
  <c r="S41" i="9"/>
  <c r="S25" i="9"/>
  <c r="S9" i="9"/>
  <c r="Q200" i="9"/>
  <c r="Q184" i="9"/>
  <c r="Q168" i="9"/>
  <c r="Q152" i="9"/>
  <c r="Q136" i="9"/>
  <c r="Q120" i="9"/>
  <c r="Q104" i="9"/>
  <c r="Q88" i="9"/>
  <c r="Q72" i="9"/>
  <c r="Q56" i="9"/>
  <c r="Q40" i="9"/>
  <c r="Q24" i="9"/>
  <c r="Q8" i="9"/>
  <c r="P199" i="9"/>
  <c r="P183" i="9"/>
  <c r="P167" i="9"/>
  <c r="P151" i="9"/>
  <c r="P135" i="9"/>
  <c r="P119" i="9"/>
  <c r="P103" i="9"/>
  <c r="P87" i="9"/>
  <c r="P71" i="9"/>
  <c r="P55" i="9"/>
  <c r="P39" i="9"/>
  <c r="P23" i="9"/>
  <c r="P7" i="9"/>
  <c r="S200" i="9"/>
  <c r="S184" i="9"/>
  <c r="S168" i="9"/>
  <c r="S152" i="9"/>
  <c r="S136" i="9"/>
  <c r="S120" i="9"/>
  <c r="S104" i="9"/>
  <c r="S88" i="9"/>
  <c r="S72" i="9"/>
  <c r="S56" i="9"/>
  <c r="S40" i="9"/>
  <c r="S24" i="9"/>
  <c r="S8" i="9"/>
  <c r="Q199" i="9"/>
  <c r="Q183" i="9"/>
  <c r="Q167" i="9"/>
  <c r="Q151" i="9"/>
  <c r="Q135" i="9"/>
  <c r="Q119" i="9"/>
  <c r="Q103" i="9"/>
  <c r="Q87" i="9"/>
  <c r="Q71" i="9"/>
  <c r="Q55" i="9"/>
  <c r="Q39" i="9"/>
  <c r="Q23" i="9"/>
  <c r="Q7" i="9"/>
  <c r="S199" i="9"/>
  <c r="S183" i="9"/>
  <c r="S167" i="9"/>
  <c r="S151" i="9"/>
  <c r="S135" i="9"/>
  <c r="S119" i="9"/>
  <c r="S103" i="9"/>
  <c r="S87" i="9"/>
  <c r="S71" i="9"/>
  <c r="S55" i="9"/>
  <c r="S39" i="9"/>
  <c r="S23" i="9"/>
  <c r="S7" i="9"/>
  <c r="N140" i="9" l="1"/>
  <c r="N135" i="9"/>
  <c r="N180" i="9"/>
  <c r="N99" i="9"/>
  <c r="N62" i="9"/>
  <c r="N209" i="9"/>
  <c r="N58" i="9"/>
  <c r="N46" i="9"/>
  <c r="N114" i="9"/>
  <c r="N179" i="9"/>
  <c r="N199" i="9"/>
  <c r="N147" i="9"/>
  <c r="N113" i="9"/>
  <c r="N173" i="9"/>
  <c r="N14" i="9"/>
  <c r="N34" i="9"/>
  <c r="N24" i="9"/>
  <c r="N169" i="9"/>
  <c r="N191" i="9"/>
  <c r="N80" i="9"/>
  <c r="N162" i="9"/>
  <c r="N151" i="9"/>
  <c r="N40" i="9"/>
  <c r="N185" i="9"/>
  <c r="N74" i="9"/>
  <c r="N123" i="9"/>
  <c r="N207" i="9"/>
  <c r="N96" i="9"/>
  <c r="N165" i="9"/>
  <c r="N75" i="9"/>
  <c r="N49" i="9"/>
  <c r="N13" i="9"/>
  <c r="N110" i="9"/>
  <c r="N187" i="9"/>
  <c r="N29" i="9"/>
  <c r="N126" i="9"/>
  <c r="N101" i="9"/>
  <c r="N120" i="9"/>
  <c r="N9" i="9"/>
  <c r="N154" i="9"/>
  <c r="N142" i="9"/>
  <c r="N31" i="9"/>
  <c r="N176" i="9"/>
  <c r="N54" i="9"/>
  <c r="N118" i="9"/>
  <c r="N182" i="9"/>
  <c r="N196" i="9"/>
  <c r="N100" i="9"/>
  <c r="N204" i="9"/>
  <c r="N136" i="9"/>
  <c r="N25" i="9"/>
  <c r="N170" i="9"/>
  <c r="N61" i="9"/>
  <c r="N158" i="9"/>
  <c r="N47" i="9"/>
  <c r="N192" i="9"/>
  <c r="N23" i="9"/>
  <c r="N93" i="9"/>
  <c r="N190" i="9"/>
  <c r="N37" i="9"/>
  <c r="N43" i="9"/>
  <c r="N18" i="9"/>
  <c r="N206" i="9"/>
  <c r="N6" i="9"/>
  <c r="N70" i="9"/>
  <c r="N134" i="9"/>
  <c r="N198" i="9"/>
  <c r="N67" i="9"/>
  <c r="N163" i="9"/>
  <c r="N33" i="9"/>
  <c r="N65" i="9"/>
  <c r="N145" i="9"/>
  <c r="N167" i="9"/>
  <c r="N56" i="9"/>
  <c r="N201" i="9"/>
  <c r="N90" i="9"/>
  <c r="N38" i="9"/>
  <c r="N102" i="9"/>
  <c r="N166" i="9"/>
  <c r="N68" i="9"/>
  <c r="N85" i="9"/>
  <c r="N139" i="9"/>
  <c r="N51" i="9"/>
  <c r="N108" i="9"/>
  <c r="N183" i="9"/>
  <c r="N72" i="9"/>
  <c r="N106" i="9"/>
  <c r="N94" i="9"/>
  <c r="N128" i="9"/>
  <c r="N5" i="9"/>
  <c r="N203" i="9"/>
  <c r="N172" i="9"/>
  <c r="N88" i="9"/>
  <c r="N122" i="9"/>
  <c r="N144" i="9"/>
  <c r="N20" i="9"/>
  <c r="N84" i="9"/>
  <c r="N181" i="9"/>
  <c r="N48" i="9"/>
  <c r="N104" i="9"/>
  <c r="N138" i="9"/>
  <c r="N15" i="9"/>
  <c r="N160" i="9"/>
  <c r="N17" i="9"/>
  <c r="N107" i="9"/>
  <c r="N45" i="9"/>
  <c r="N21" i="9"/>
  <c r="N130" i="9"/>
  <c r="N171" i="9"/>
  <c r="N197" i="9"/>
  <c r="N194" i="9"/>
  <c r="N44" i="9"/>
  <c r="N19" i="9"/>
  <c r="N156" i="9"/>
  <c r="N7" i="9"/>
  <c r="N152" i="9"/>
  <c r="N41" i="9"/>
  <c r="N186" i="9"/>
  <c r="N77" i="9"/>
  <c r="N174" i="9"/>
  <c r="N63" i="9"/>
  <c r="N208" i="9"/>
  <c r="N116" i="9"/>
  <c r="N117" i="9"/>
  <c r="N98" i="9"/>
  <c r="N76" i="9"/>
  <c r="N27" i="9"/>
  <c r="N155" i="9"/>
  <c r="N131" i="9"/>
  <c r="N168" i="9"/>
  <c r="N57" i="9"/>
  <c r="N202" i="9"/>
  <c r="N79" i="9"/>
  <c r="N39" i="9"/>
  <c r="N184" i="9"/>
  <c r="N73" i="9"/>
  <c r="N109" i="9"/>
  <c r="N95" i="9"/>
  <c r="N132" i="9"/>
  <c r="N4" i="9"/>
  <c r="N12" i="9"/>
  <c r="N195" i="9"/>
  <c r="N97" i="9"/>
  <c r="N55" i="9"/>
  <c r="N200" i="9"/>
  <c r="N89" i="9"/>
  <c r="N125" i="9"/>
  <c r="N111" i="9"/>
  <c r="N133" i="9"/>
  <c r="N161" i="9"/>
  <c r="N91" i="9"/>
  <c r="N92" i="9"/>
  <c r="N71" i="9"/>
  <c r="N105" i="9"/>
  <c r="N141" i="9"/>
  <c r="N127" i="9"/>
  <c r="N148" i="9"/>
  <c r="N53" i="9"/>
  <c r="N11" i="9"/>
  <c r="N129" i="9"/>
  <c r="N32" i="9"/>
  <c r="N82" i="9"/>
  <c r="N178" i="9"/>
  <c r="N87" i="9"/>
  <c r="N121" i="9"/>
  <c r="N10" i="9"/>
  <c r="N157" i="9"/>
  <c r="N143" i="9"/>
  <c r="N64" i="9"/>
  <c r="N193" i="9"/>
  <c r="N146" i="9"/>
  <c r="N66" i="9"/>
  <c r="N177" i="9"/>
  <c r="N60" i="9"/>
  <c r="N103" i="9"/>
  <c r="N137" i="9"/>
  <c r="N26" i="9"/>
  <c r="N159" i="9"/>
  <c r="N22" i="9"/>
  <c r="N86" i="9"/>
  <c r="N150" i="9"/>
  <c r="N36" i="9"/>
  <c r="N164" i="9"/>
  <c r="N149" i="9"/>
  <c r="N124" i="9"/>
  <c r="N28" i="9"/>
  <c r="N3" i="9"/>
  <c r="N115" i="9"/>
  <c r="N59" i="9"/>
  <c r="N50" i="9"/>
  <c r="N119" i="9"/>
  <c r="N8" i="9"/>
  <c r="N153" i="9"/>
  <c r="N42" i="9"/>
  <c r="N189" i="9"/>
  <c r="N30" i="9"/>
  <c r="N175" i="9"/>
  <c r="N16" i="9"/>
  <c r="N69" i="9"/>
  <c r="N188" i="9"/>
  <c r="N81" i="9"/>
  <c r="I27" i="10" l="1"/>
  <c r="E27" i="10"/>
  <c r="I26" i="10"/>
  <c r="E26" i="10"/>
  <c r="I25" i="10"/>
  <c r="E25" i="10"/>
  <c r="I24" i="10"/>
  <c r="E24" i="10"/>
  <c r="I23" i="10"/>
  <c r="E23" i="10"/>
  <c r="I22" i="10"/>
  <c r="E22" i="10"/>
  <c r="I21" i="10"/>
  <c r="E21" i="10"/>
  <c r="I20" i="10"/>
  <c r="E20" i="10"/>
  <c r="I19" i="10"/>
  <c r="E19" i="10"/>
  <c r="I18" i="10"/>
  <c r="E18" i="10"/>
  <c r="I17" i="10"/>
  <c r="E17" i="10"/>
  <c r="I16" i="10"/>
  <c r="E16" i="10"/>
  <c r="I15" i="10"/>
  <c r="E15" i="10"/>
  <c r="I14" i="10"/>
  <c r="E14" i="10"/>
  <c r="I13" i="10"/>
  <c r="E13" i="10"/>
  <c r="I12" i="10"/>
  <c r="E12" i="10"/>
  <c r="I11" i="10"/>
  <c r="E11" i="10"/>
  <c r="I10" i="10"/>
  <c r="E10" i="10"/>
  <c r="I9" i="10"/>
  <c r="E9" i="10"/>
  <c r="I8" i="10"/>
  <c r="E8" i="10"/>
  <c r="I7" i="10"/>
  <c r="E7" i="10"/>
  <c r="I6" i="10"/>
  <c r="E6" i="10"/>
  <c r="I5" i="10"/>
  <c r="E5" i="10"/>
  <c r="I4" i="10"/>
  <c r="E4" i="10"/>
  <c r="I3" i="10"/>
  <c r="E3" i="10"/>
  <c r="I2" i="10"/>
  <c r="E2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" i="9"/>
  <c r="R2" i="9" l="1"/>
  <c r="Q2" i="9"/>
  <c r="S2" i="9"/>
  <c r="N2" i="9" l="1"/>
  <c r="U38" i="9"/>
  <c r="U153" i="9"/>
  <c r="V91" i="9"/>
  <c r="V187" i="9"/>
  <c r="V22" i="9"/>
  <c r="U192" i="9"/>
  <c r="V130" i="9"/>
  <c r="V65" i="9"/>
  <c r="V67" i="9"/>
  <c r="V117" i="9"/>
  <c r="V26" i="9"/>
  <c r="U157" i="9"/>
  <c r="V60" i="9"/>
  <c r="U101" i="9"/>
  <c r="V54" i="9"/>
  <c r="V77" i="9"/>
  <c r="U76" i="9"/>
  <c r="V13" i="9"/>
  <c r="V87" i="9"/>
  <c r="V51" i="9"/>
  <c r="V64" i="9"/>
  <c r="V80" i="9"/>
  <c r="V141" i="9"/>
  <c r="V191" i="9"/>
  <c r="U17" i="9"/>
  <c r="V82" i="9"/>
  <c r="U139" i="9"/>
  <c r="U103" i="9"/>
  <c r="U169" i="9"/>
  <c r="V154" i="9"/>
  <c r="V135" i="9"/>
  <c r="V144" i="9"/>
  <c r="U46" i="9"/>
  <c r="U150" i="9"/>
  <c r="V122" i="9"/>
  <c r="V48" i="9"/>
  <c r="U81" i="9"/>
  <c r="U146" i="9"/>
  <c r="V83" i="9"/>
  <c r="V182" i="9"/>
  <c r="V133" i="9"/>
  <c r="U185" i="9"/>
  <c r="U45" i="9"/>
  <c r="U15" i="9"/>
  <c r="U96" i="9"/>
  <c r="V97" i="9"/>
  <c r="U10" i="9"/>
  <c r="V16" i="9"/>
  <c r="U32" i="9"/>
  <c r="V102" i="9"/>
  <c r="U62" i="9"/>
  <c r="V31" i="9"/>
  <c r="U113" i="9"/>
  <c r="U92" i="9"/>
  <c r="U199" i="9"/>
  <c r="V196" i="9"/>
  <c r="V39" i="9"/>
  <c r="U183" i="9"/>
  <c r="U58" i="9"/>
  <c r="U204" i="9"/>
  <c r="U128" i="9"/>
  <c r="U140" i="9"/>
  <c r="U107" i="9"/>
  <c r="U176" i="9"/>
  <c r="U3" i="9"/>
  <c r="U53" i="9"/>
  <c r="V134" i="9"/>
  <c r="U168" i="9"/>
  <c r="V105" i="9"/>
  <c r="U189" i="9"/>
  <c r="V172" i="9"/>
  <c r="U78" i="9"/>
  <c r="V118" i="9"/>
  <c r="U11" i="9"/>
  <c r="V29" i="9"/>
  <c r="U29" i="9"/>
  <c r="V128" i="9"/>
  <c r="U134" i="9"/>
  <c r="U205" i="9"/>
  <c r="V205" i="9"/>
  <c r="V186" i="9"/>
  <c r="U186" i="9"/>
  <c r="U39" i="9" l="1"/>
  <c r="U102" i="9"/>
  <c r="U64" i="9"/>
  <c r="U154" i="9"/>
  <c r="V101" i="9"/>
  <c r="V58" i="9"/>
  <c r="V139" i="9"/>
  <c r="U48" i="9"/>
  <c r="V96" i="9"/>
  <c r="V113" i="9"/>
  <c r="U135" i="9"/>
  <c r="V10" i="9"/>
  <c r="U13" i="9"/>
  <c r="V204" i="9"/>
  <c r="V76" i="9"/>
  <c r="U117" i="9"/>
  <c r="U91" i="9"/>
  <c r="U16" i="9"/>
  <c r="V38" i="9"/>
  <c r="V185" i="9"/>
  <c r="V189" i="9"/>
  <c r="U133" i="9"/>
  <c r="V92" i="9"/>
  <c r="V168" i="9"/>
  <c r="V140" i="9"/>
  <c r="V150" i="9"/>
  <c r="V15" i="9"/>
  <c r="U196" i="9"/>
  <c r="V183" i="9"/>
  <c r="U191" i="9"/>
  <c r="U130" i="9"/>
  <c r="V45" i="9"/>
  <c r="U105" i="9"/>
  <c r="U87" i="9"/>
  <c r="V53" i="9"/>
  <c r="V107" i="9"/>
  <c r="V169" i="9"/>
  <c r="V176" i="9"/>
  <c r="V192" i="9"/>
  <c r="U82" i="9"/>
  <c r="V17" i="9"/>
  <c r="U187" i="9"/>
  <c r="V153" i="9"/>
  <c r="V81" i="9"/>
  <c r="U122" i="9"/>
  <c r="U182" i="9"/>
  <c r="U172" i="9"/>
  <c r="U60" i="9"/>
  <c r="V3" i="9"/>
  <c r="V78" i="9"/>
  <c r="V46" i="9"/>
  <c r="U51" i="9"/>
  <c r="U65" i="9"/>
  <c r="U83" i="9"/>
  <c r="U97" i="9"/>
  <c r="V32" i="9"/>
  <c r="U144" i="9"/>
  <c r="U141" i="9"/>
  <c r="U77" i="9"/>
  <c r="V62" i="9"/>
  <c r="V146" i="9"/>
  <c r="U80" i="9"/>
  <c r="V103" i="9"/>
  <c r="V11" i="9"/>
  <c r="U26" i="9"/>
  <c r="U54" i="9"/>
  <c r="V199" i="9"/>
  <c r="U22" i="9"/>
  <c r="U31" i="9"/>
  <c r="V157" i="9"/>
  <c r="U118" i="9"/>
  <c r="U67" i="9"/>
  <c r="U93" i="9"/>
  <c r="V93" i="9"/>
  <c r="V12" i="9"/>
  <c r="U12" i="9"/>
  <c r="V121" i="9"/>
  <c r="U121" i="9"/>
  <c r="V166" i="9"/>
  <c r="U166" i="9"/>
  <c r="U202" i="9"/>
  <c r="V202" i="9"/>
  <c r="V7" i="9"/>
  <c r="U7" i="9"/>
  <c r="V116" i="9"/>
  <c r="U116" i="9"/>
  <c r="V163" i="9"/>
  <c r="U163" i="9"/>
  <c r="U59" i="9"/>
  <c r="V59" i="9"/>
  <c r="V85" i="9"/>
  <c r="U85" i="9"/>
  <c r="V69" i="9"/>
  <c r="U69" i="9"/>
  <c r="V89" i="9"/>
  <c r="U89" i="9"/>
  <c r="V57" i="9"/>
  <c r="U57" i="9"/>
  <c r="V104" i="9"/>
  <c r="U104" i="9"/>
  <c r="V179" i="9"/>
  <c r="U179" i="9"/>
  <c r="U177" i="9"/>
  <c r="V177" i="9"/>
  <c r="V4" i="9"/>
  <c r="U4" i="9"/>
  <c r="V181" i="9"/>
  <c r="U181" i="9"/>
  <c r="V198" i="9"/>
  <c r="U198" i="9"/>
  <c r="V35" i="9"/>
  <c r="U35" i="9"/>
  <c r="V19" i="9"/>
  <c r="U19" i="9"/>
  <c r="V71" i="9"/>
  <c r="U71" i="9"/>
  <c r="U188" i="9"/>
  <c r="V188" i="9"/>
  <c r="V41" i="9"/>
  <c r="U41" i="9"/>
  <c r="V40" i="9"/>
  <c r="U40" i="9"/>
  <c r="V8" i="9"/>
  <c r="U8" i="9"/>
  <c r="V152" i="9"/>
  <c r="U152" i="9"/>
  <c r="V120" i="9"/>
  <c r="U120" i="9"/>
  <c r="V132" i="9"/>
  <c r="U132" i="9"/>
  <c r="V193" i="9"/>
  <c r="U193" i="9"/>
  <c r="V95" i="9"/>
  <c r="U95" i="9"/>
  <c r="V56" i="9"/>
  <c r="U56" i="9"/>
  <c r="V68" i="9"/>
  <c r="U68" i="9"/>
  <c r="U138" i="9"/>
  <c r="V138" i="9"/>
  <c r="V149" i="9"/>
  <c r="U149" i="9"/>
  <c r="U114" i="9"/>
  <c r="V114" i="9"/>
  <c r="V98" i="9"/>
  <c r="U98" i="9"/>
  <c r="U43" i="9"/>
  <c r="V43" i="9"/>
  <c r="V37" i="9"/>
  <c r="U37" i="9"/>
  <c r="V151" i="9"/>
  <c r="U151" i="9"/>
  <c r="V5" i="9"/>
  <c r="U5" i="9"/>
  <c r="V195" i="9"/>
  <c r="U195" i="9"/>
  <c r="V111" i="9"/>
  <c r="U111" i="9"/>
  <c r="U158" i="9"/>
  <c r="V158" i="9"/>
  <c r="V6" i="9"/>
  <c r="U6" i="9"/>
  <c r="U110" i="9"/>
  <c r="V110" i="9"/>
  <c r="V200" i="9"/>
  <c r="U200" i="9"/>
  <c r="V36" i="9"/>
  <c r="U36" i="9"/>
  <c r="V180" i="9"/>
  <c r="U180" i="9"/>
  <c r="V73" i="9"/>
  <c r="U73" i="9"/>
  <c r="V148" i="9"/>
  <c r="U148" i="9"/>
  <c r="U18" i="9"/>
  <c r="V18" i="9"/>
  <c r="V174" i="9"/>
  <c r="U174" i="9"/>
  <c r="V197" i="9"/>
  <c r="U197" i="9"/>
  <c r="U2" i="9"/>
  <c r="V2" i="9"/>
  <c r="V99" i="9"/>
  <c r="U99" i="9"/>
  <c r="V207" i="9"/>
  <c r="U207" i="9"/>
  <c r="V47" i="9"/>
  <c r="U47" i="9"/>
  <c r="V201" i="9"/>
  <c r="U201" i="9"/>
  <c r="V33" i="9"/>
  <c r="U33" i="9"/>
  <c r="V66" i="9"/>
  <c r="U66" i="9"/>
  <c r="V136" i="9"/>
  <c r="U136" i="9"/>
  <c r="V34" i="9"/>
  <c r="U34" i="9"/>
  <c r="U209" i="9"/>
  <c r="V209" i="9"/>
  <c r="V84" i="9"/>
  <c r="U84" i="9"/>
  <c r="U145" i="9"/>
  <c r="V145" i="9"/>
  <c r="V24" i="9"/>
  <c r="U24" i="9"/>
  <c r="U178" i="9"/>
  <c r="V178" i="9"/>
  <c r="U14" i="9"/>
  <c r="V14" i="9"/>
  <c r="U106" i="9"/>
  <c r="V106" i="9"/>
  <c r="V25" i="9"/>
  <c r="U25" i="9"/>
  <c r="V88" i="9"/>
  <c r="U88" i="9"/>
  <c r="V119" i="9"/>
  <c r="U119" i="9"/>
  <c r="V49" i="9"/>
  <c r="U49" i="9"/>
  <c r="V175" i="9"/>
  <c r="U175" i="9"/>
  <c r="V21" i="9"/>
  <c r="U21" i="9"/>
  <c r="V143" i="9"/>
  <c r="U143" i="9"/>
  <c r="V127" i="9"/>
  <c r="U127" i="9"/>
  <c r="V147" i="9"/>
  <c r="U147" i="9"/>
  <c r="V208" i="9"/>
  <c r="U208" i="9"/>
  <c r="V165" i="9"/>
  <c r="U165" i="9"/>
  <c r="V9" i="9"/>
  <c r="U9" i="9"/>
  <c r="V72" i="9"/>
  <c r="U72" i="9"/>
  <c r="V61" i="9"/>
  <c r="U61" i="9"/>
  <c r="V167" i="9"/>
  <c r="U167" i="9"/>
  <c r="U124" i="9"/>
  <c r="V124" i="9"/>
  <c r="V100" i="9"/>
  <c r="U100" i="9"/>
  <c r="V156" i="9"/>
  <c r="U156" i="9"/>
  <c r="V164" i="9"/>
  <c r="U164" i="9"/>
  <c r="U206" i="9"/>
  <c r="V206" i="9"/>
  <c r="U190" i="9"/>
  <c r="V190" i="9"/>
  <c r="V161" i="9"/>
  <c r="U161" i="9"/>
  <c r="V63" i="9"/>
  <c r="U63" i="9"/>
  <c r="V52" i="9"/>
  <c r="U52" i="9"/>
  <c r="U108" i="9"/>
  <c r="V108" i="9"/>
  <c r="V70" i="9"/>
  <c r="U70" i="9"/>
  <c r="V125" i="9"/>
  <c r="U125" i="9"/>
  <c r="V74" i="9"/>
  <c r="U74" i="9"/>
  <c r="V86" i="9"/>
  <c r="U86" i="9"/>
  <c r="V170" i="9"/>
  <c r="U170" i="9"/>
  <c r="V184" i="9"/>
  <c r="U184" i="9"/>
  <c r="U50" i="9"/>
  <c r="V50" i="9"/>
  <c r="V79" i="9"/>
  <c r="U79" i="9"/>
  <c r="U126" i="9"/>
  <c r="V126" i="9"/>
  <c r="V115" i="9"/>
  <c r="U115" i="9"/>
  <c r="V112" i="9"/>
  <c r="U112" i="9"/>
  <c r="V30" i="9"/>
  <c r="U30" i="9"/>
  <c r="V23" i="9"/>
  <c r="U23" i="9"/>
  <c r="V159" i="9"/>
  <c r="U159" i="9"/>
  <c r="V90" i="9"/>
  <c r="U90" i="9"/>
  <c r="U142" i="9"/>
  <c r="V142" i="9"/>
  <c r="V20" i="9"/>
  <c r="U20" i="9"/>
  <c r="V194" i="9"/>
  <c r="U194" i="9"/>
  <c r="V171" i="9"/>
  <c r="U171" i="9"/>
  <c r="V155" i="9"/>
  <c r="U155" i="9"/>
  <c r="V137" i="9"/>
  <c r="U137" i="9"/>
  <c r="V131" i="9"/>
  <c r="U131" i="9"/>
  <c r="U28" i="9"/>
  <c r="V28" i="9"/>
  <c r="U42" i="9"/>
  <c r="V42" i="9"/>
  <c r="U203" i="9"/>
  <c r="V203" i="9"/>
  <c r="V162" i="9"/>
  <c r="U162" i="9"/>
  <c r="V129" i="9"/>
  <c r="U129" i="9"/>
  <c r="V173" i="9"/>
  <c r="U173" i="9"/>
  <c r="U44" i="9"/>
  <c r="V44" i="9"/>
  <c r="V75" i="9"/>
  <c r="U75" i="9"/>
  <c r="V123" i="9"/>
  <c r="U123" i="9"/>
  <c r="V55" i="9"/>
  <c r="U55" i="9"/>
  <c r="V109" i="9"/>
  <c r="U109" i="9"/>
  <c r="V160" i="9"/>
  <c r="U160" i="9"/>
  <c r="V94" i="9"/>
  <c r="U94" i="9"/>
  <c r="V27" i="9"/>
  <c r="U2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martina.vit</author>
  </authors>
  <commentList>
    <comment ref="A1" authorId="0" shapeId="0" xr:uid="{25B3F7FA-0189-4143-87B3-5B0138D076D8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The administrative level at which you want  calculate the PiN </t>
        </r>
      </text>
    </comment>
    <comment ref="C1" authorId="0" shapeId="0" xr:uid="{F171AB6E-BEDE-4E63-B47F-F6C9B84EB45F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</commentList>
</comments>
</file>

<file path=xl/sharedStrings.xml><?xml version="1.0" encoding="utf-8"?>
<sst xmlns="http://schemas.openxmlformats.org/spreadsheetml/2006/main" count="1780" uniqueCount="807">
  <si>
    <t>Admin</t>
  </si>
  <si>
    <t>Admin Pcode</t>
  </si>
  <si>
    <t>IDP/PDI -- Children/Enfants (5-17)</t>
  </si>
  <si>
    <t>Returnees/Retournés -- Children/Enfants (5-17)</t>
  </si>
  <si>
    <t>Host/Hôte -- Children/Enfants (5-17)</t>
  </si>
  <si>
    <t>ToT -- Children/Enfants (5-17)</t>
  </si>
  <si>
    <t>ToT -- Girls/Filles (5-17)</t>
  </si>
  <si>
    <t>ToT -- Boys/Garcons (5-17)</t>
  </si>
  <si>
    <t>Refugees/Refugiees -- Children/Enfants (5-17)</t>
  </si>
  <si>
    <t>Other -- Children/Enfants (5-17)</t>
  </si>
  <si>
    <t>5yo -- Children/Enfants</t>
  </si>
  <si>
    <r>
      <t xml:space="preserve">Unique list of admin codes at </t>
    </r>
    <r>
      <rPr>
        <sz val="11"/>
        <color rgb="FFC00000"/>
        <rFont val="Aptos Narrow"/>
        <family val="2"/>
        <scheme val="minor"/>
      </rPr>
      <t>one or more levels above OCHA's unit of analysis that are representative in the MSNA and present in the MSNA data</t>
    </r>
    <r>
      <rPr>
        <sz val="11"/>
        <color theme="1"/>
        <rFont val="Aptos Narrow"/>
        <family val="2"/>
        <scheme val="minor"/>
      </rPr>
      <t xml:space="preserve">. ---- Liste unique de codes administratifs à un </t>
    </r>
    <r>
      <rPr>
        <sz val="11"/>
        <color rgb="FFC00000"/>
        <rFont val="Aptos Narrow"/>
        <family val="2"/>
        <scheme val="minor"/>
      </rPr>
      <t>ou plusieurs niveaux au-dessus de l'unité d'analyse d'OCHA qui sont représentatifs dans le MSNA et présents dans les données du MSNA</t>
    </r>
    <r>
      <rPr>
        <sz val="11"/>
        <color theme="1"/>
        <rFont val="Aptos Narrow"/>
        <family val="2"/>
        <scheme val="minor"/>
      </rPr>
      <t>.</t>
    </r>
  </si>
  <si>
    <r>
      <t xml:space="preserve">List of admin-pcode where </t>
    </r>
    <r>
      <rPr>
        <b/>
        <sz val="11"/>
        <color rgb="FFFF0000"/>
        <rFont val="Aptos Narrow"/>
        <family val="2"/>
        <scheme val="minor"/>
      </rPr>
      <t>MSNA data is not representative at the unit of analysis of the HNO</t>
    </r>
    <r>
      <rPr>
        <sz val="11"/>
        <rFont val="Aptos Narrow"/>
        <family val="2"/>
        <scheme val="minor"/>
      </rPr>
      <t xml:space="preserve"> </t>
    </r>
    <r>
      <rPr>
        <sz val="8"/>
        <rFont val="Aptos Narrow"/>
        <family val="2"/>
        <scheme val="minor"/>
      </rPr>
      <t xml:space="preserve">(e.g., if your analysis is conducted at admin 3, but in some admin 3 units the data is only representative at admin 2 -&gt; include these admin 3 units) </t>
    </r>
    <r>
      <rPr>
        <sz val="11"/>
        <rFont val="Aptos Narrow"/>
        <family val="2"/>
        <scheme val="minor"/>
      </rPr>
      <t>----</t>
    </r>
    <r>
      <rPr>
        <i/>
        <sz val="11"/>
        <rFont val="Aptos Narrow"/>
        <family val="2"/>
        <scheme val="minor"/>
      </rPr>
      <t xml:space="preserve"> Liste des codes admin où les données </t>
    </r>
    <r>
      <rPr>
        <b/>
        <i/>
        <sz val="11"/>
        <color rgb="FFFF0000"/>
        <rFont val="Aptos Narrow"/>
        <family val="2"/>
        <scheme val="minor"/>
      </rPr>
      <t>MSNA ne sont pas représentatives à l'unité d'analyse de la HNO</t>
    </r>
    <r>
      <rPr>
        <i/>
        <sz val="8"/>
        <rFont val="Aptos Narrow"/>
        <family val="2"/>
        <scheme val="minor"/>
      </rPr>
      <t xml:space="preserve"> (par exemple, si votre analyse est effectuée à l'admin 3, mais que dans certaines unités de l'admin 3 les données ne sont représentatives qu'à l'admin 2 -&gt; inclure ces unités de l'admin 3).</t>
    </r>
  </si>
  <si>
    <r>
      <t xml:space="preserve">List of admin-pcode where </t>
    </r>
    <r>
      <rPr>
        <b/>
        <sz val="11"/>
        <color rgb="FFFF0000"/>
        <rFont val="Aptos Narrow"/>
        <family val="2"/>
        <scheme val="minor"/>
      </rPr>
      <t>MSNA data is representative at the unit of analysis of the HNO</t>
    </r>
    <r>
      <rPr>
        <sz val="11"/>
        <color rgb="FFFF0000"/>
        <rFont val="Aptos Narrow"/>
        <family val="2"/>
        <scheme val="minor"/>
      </rPr>
      <t xml:space="preserve"> </t>
    </r>
    <r>
      <rPr>
        <sz val="8"/>
        <rFont val="Aptos Narrow"/>
        <family val="2"/>
        <scheme val="minor"/>
      </rPr>
      <t>(e.g. if your analysis is conducted at admin 3, include the list of admin/pcode where the data is representative at admin 3)</t>
    </r>
    <r>
      <rPr>
        <sz val="11"/>
        <rFont val="Aptos Narrow"/>
        <family val="2"/>
        <scheme val="minor"/>
      </rPr>
      <t xml:space="preserve"> ----  </t>
    </r>
    <r>
      <rPr>
        <i/>
        <sz val="11"/>
        <rFont val="Aptos Narrow"/>
        <family val="2"/>
        <scheme val="minor"/>
      </rPr>
      <t xml:space="preserve">Liste des codes admin où les données </t>
    </r>
    <r>
      <rPr>
        <b/>
        <i/>
        <sz val="11"/>
        <color rgb="FFFF0000"/>
        <rFont val="Aptos Narrow"/>
        <family val="2"/>
        <scheme val="minor"/>
      </rPr>
      <t>MSNA sont représentatives à l'unité d'analyse de l'HNO</t>
    </r>
    <r>
      <rPr>
        <i/>
        <sz val="8"/>
        <rFont val="Aptos Narrow"/>
        <family val="2"/>
        <scheme val="minor"/>
      </rPr>
      <t xml:space="preserve"> (par exemple, si votre analyse est effectuée à l'admin 3, incluez la liste des codes admin où les données sont représentatives à l'admin 3)</t>
    </r>
    <r>
      <rPr>
        <sz val="8"/>
        <rFont val="Aptos Narrow"/>
        <family val="2"/>
        <scheme val="minor"/>
      </rPr>
      <t xml:space="preserve"> </t>
    </r>
  </si>
  <si>
    <t>Do not remove the sheet. If there is no mismatch, the PiN calculation will use the admin list from the previous sheet, and the information in the 'scope-fix' sheet will not be used</t>
  </si>
  <si>
    <t>Ne supprimez pas la feuille. S'il n'y a pas de décalage, le calcul du PiN utilisera la liste des admins de la feuille précédente, et les informations de la feuille 'scope-fix' ne seront pas utilisées.</t>
  </si>
  <si>
    <t>Binza Ozone</t>
  </si>
  <si>
    <t>CD1000ZS04</t>
  </si>
  <si>
    <t>Kingabwa</t>
  </si>
  <si>
    <t>CD1000ZS13</t>
  </si>
  <si>
    <t>Kisenso</t>
  </si>
  <si>
    <t>CD1000ZS17</t>
  </si>
  <si>
    <t>Limete</t>
  </si>
  <si>
    <t>CD1000ZS20</t>
  </si>
  <si>
    <t>Maluku I</t>
  </si>
  <si>
    <t>CD1000ZS23</t>
  </si>
  <si>
    <t>Maluku II</t>
  </si>
  <si>
    <t>CD1000ZS24</t>
  </si>
  <si>
    <t>Masina I</t>
  </si>
  <si>
    <t>CD1000ZS25</t>
  </si>
  <si>
    <t>Matete</t>
  </si>
  <si>
    <t>CD1000ZS27</t>
  </si>
  <si>
    <t>Mont Ngafula I</t>
  </si>
  <si>
    <t>CD1000ZS28</t>
  </si>
  <si>
    <t>Mont Ngafula II</t>
  </si>
  <si>
    <t>CD1000ZS29</t>
  </si>
  <si>
    <t>Ndjili</t>
  </si>
  <si>
    <t>CD1000ZS30</t>
  </si>
  <si>
    <t>Boko</t>
  </si>
  <si>
    <t>CD3102ZS01</t>
  </si>
  <si>
    <t>Kenge</t>
  </si>
  <si>
    <t>CD3102ZS02</t>
  </si>
  <si>
    <t>Panzi</t>
  </si>
  <si>
    <t>CD3106ZS03</t>
  </si>
  <si>
    <t>Popokabaka</t>
  </si>
  <si>
    <t>CD3108ZS01</t>
  </si>
  <si>
    <t>Bandundu</t>
  </si>
  <si>
    <t>CD3201ZS01</t>
  </si>
  <si>
    <t>Bagata</t>
  </si>
  <si>
    <t>CD3202ZS01</t>
  </si>
  <si>
    <t>Kikongo</t>
  </si>
  <si>
    <t>CD3202ZS02</t>
  </si>
  <si>
    <t>Kikwit-Nord</t>
  </si>
  <si>
    <t>CD3203ZS01</t>
  </si>
  <si>
    <t>Mosango</t>
  </si>
  <si>
    <t>CD3212ZS03</t>
  </si>
  <si>
    <t>Kwamouth</t>
  </si>
  <si>
    <t>CD3307ZS01</t>
  </si>
  <si>
    <t>Kabondo</t>
  </si>
  <si>
    <t>CD5101ZS01</t>
  </si>
  <si>
    <t>Lubunga</t>
  </si>
  <si>
    <t>CD5101ZS02</t>
  </si>
  <si>
    <t>Makiso-Kisangani</t>
  </si>
  <si>
    <t>CD5101ZS03</t>
  </si>
  <si>
    <t>Mangobo</t>
  </si>
  <si>
    <t>CD5101ZS04</t>
  </si>
  <si>
    <t>Tshopo</t>
  </si>
  <si>
    <t>CD5101ZS05</t>
  </si>
  <si>
    <t>Ubundu</t>
  </si>
  <si>
    <t>CD5102ZS02</t>
  </si>
  <si>
    <t>Wanierukula</t>
  </si>
  <si>
    <t>CD5102ZS03</t>
  </si>
  <si>
    <t>Yakusu</t>
  </si>
  <si>
    <t>CD5105ZS04</t>
  </si>
  <si>
    <t>Basoko</t>
  </si>
  <si>
    <t>CD5109ZS02</t>
  </si>
  <si>
    <t>Bafwasende</t>
  </si>
  <si>
    <t>CD5111ZS02</t>
  </si>
  <si>
    <t>Buta</t>
  </si>
  <si>
    <t>CD5202ZS01</t>
  </si>
  <si>
    <t>Dungu</t>
  </si>
  <si>
    <t>CD5305ZS02</t>
  </si>
  <si>
    <t>Gombari</t>
  </si>
  <si>
    <t>CD5309ZS01</t>
  </si>
  <si>
    <t>Boga</t>
  </si>
  <si>
    <t>CD5402ZS01</t>
  </si>
  <si>
    <t>Bunia</t>
  </si>
  <si>
    <t>CD5402ZS02</t>
  </si>
  <si>
    <t>Gethy</t>
  </si>
  <si>
    <t>CD5402ZS03</t>
  </si>
  <si>
    <t>Komanda</t>
  </si>
  <si>
    <t>CD5402ZS04</t>
  </si>
  <si>
    <t>Nyakunde</t>
  </si>
  <si>
    <t>CD5402ZS05</t>
  </si>
  <si>
    <t>Rwampara</t>
  </si>
  <si>
    <t>CD5402ZS06</t>
  </si>
  <si>
    <t>Lolwa</t>
  </si>
  <si>
    <t>CD5403ZS01</t>
  </si>
  <si>
    <t>Mambasa</t>
  </si>
  <si>
    <t>CD5403ZS02</t>
  </si>
  <si>
    <t>Mandima</t>
  </si>
  <si>
    <t>CD5403ZS03</t>
  </si>
  <si>
    <t>Bambu</t>
  </si>
  <si>
    <t>CD5405ZS01</t>
  </si>
  <si>
    <t>Drodro</t>
  </si>
  <si>
    <t>CD5405ZS03</t>
  </si>
  <si>
    <t>Fataki</t>
  </si>
  <si>
    <t>CD5405ZS04</t>
  </si>
  <si>
    <t>Jiba</t>
  </si>
  <si>
    <t>CD5405ZS05</t>
  </si>
  <si>
    <t>Kilo</t>
  </si>
  <si>
    <t>CD5405ZS06</t>
  </si>
  <si>
    <t>Linga</t>
  </si>
  <si>
    <t>CD5405ZS07</t>
  </si>
  <si>
    <t>Lita</t>
  </si>
  <si>
    <t>CD5405ZS08</t>
  </si>
  <si>
    <t>Mangala</t>
  </si>
  <si>
    <t>CD5405ZS09</t>
  </si>
  <si>
    <t>Mongbalu</t>
  </si>
  <si>
    <t>CD5405ZS10</t>
  </si>
  <si>
    <t>Nizi</t>
  </si>
  <si>
    <t>CD5405ZS11</t>
  </si>
  <si>
    <t>Rethy</t>
  </si>
  <si>
    <t>CD5405ZS12</t>
  </si>
  <si>
    <t>Tchomia</t>
  </si>
  <si>
    <t>CD5405ZS13</t>
  </si>
  <si>
    <t>Angumu</t>
  </si>
  <si>
    <t>CD5407ZS01</t>
  </si>
  <si>
    <t>Aungba</t>
  </si>
  <si>
    <t>CD5407ZS02</t>
  </si>
  <si>
    <t>Kambala</t>
  </si>
  <si>
    <t>CD5407ZS03</t>
  </si>
  <si>
    <t>Logo</t>
  </si>
  <si>
    <t>CD5407ZS04</t>
  </si>
  <si>
    <t>Mahagi</t>
  </si>
  <si>
    <t>CD5407ZS05</t>
  </si>
  <si>
    <t>Nyarambe</t>
  </si>
  <si>
    <t>CD5407ZS06</t>
  </si>
  <si>
    <t>Rimba</t>
  </si>
  <si>
    <t>CD5407ZS07</t>
  </si>
  <si>
    <t>Aru</t>
  </si>
  <si>
    <t>CD5409ZS04</t>
  </si>
  <si>
    <t>Biringi</t>
  </si>
  <si>
    <t>CD5409ZS05</t>
  </si>
  <si>
    <t>Goma</t>
  </si>
  <si>
    <t>CD6101ZS01</t>
  </si>
  <si>
    <t>Karisimbi</t>
  </si>
  <si>
    <t>CD6101ZS02</t>
  </si>
  <si>
    <t>Nyiragongo</t>
  </si>
  <si>
    <t>CD6102ZS01</t>
  </si>
  <si>
    <t>Katoyi</t>
  </si>
  <si>
    <t>CD6103ZS01</t>
  </si>
  <si>
    <t>Kirotshe</t>
  </si>
  <si>
    <t>CD6103ZS02</t>
  </si>
  <si>
    <t>Masisi</t>
  </si>
  <si>
    <t>CD6103ZS03</t>
  </si>
  <si>
    <t>Mweso</t>
  </si>
  <si>
    <t>CD6103ZS04</t>
  </si>
  <si>
    <t>Itebero</t>
  </si>
  <si>
    <t>CD6104ZS01</t>
  </si>
  <si>
    <t>Kibua</t>
  </si>
  <si>
    <t>CD6104ZS02</t>
  </si>
  <si>
    <t>Pinga</t>
  </si>
  <si>
    <t>CD6104ZS03</t>
  </si>
  <si>
    <t>Walikale</t>
  </si>
  <si>
    <t>CD6104ZS04</t>
  </si>
  <si>
    <t>Alimbongo</t>
  </si>
  <si>
    <t>CD6105ZS01</t>
  </si>
  <si>
    <t>Biena</t>
  </si>
  <si>
    <t>CD6105ZS02</t>
  </si>
  <si>
    <t>Kayna</t>
  </si>
  <si>
    <t>CD6105ZS03</t>
  </si>
  <si>
    <t>Lubero</t>
  </si>
  <si>
    <t>CD6105ZS04</t>
  </si>
  <si>
    <t>Manguredjipa</t>
  </si>
  <si>
    <t>CD6105ZS05</t>
  </si>
  <si>
    <t>Masereka</t>
  </si>
  <si>
    <t>CD6105ZS06</t>
  </si>
  <si>
    <t>Musienene</t>
  </si>
  <si>
    <t>CD6105ZS07</t>
  </si>
  <si>
    <t>Kalunguta</t>
  </si>
  <si>
    <t>CD6107ZS01</t>
  </si>
  <si>
    <t>Kamango</t>
  </si>
  <si>
    <t>CD6107ZS02</t>
  </si>
  <si>
    <t>Kyondo</t>
  </si>
  <si>
    <t>CD6107ZS03</t>
  </si>
  <si>
    <t>Mabalako</t>
  </si>
  <si>
    <t>CD6107ZS04</t>
  </si>
  <si>
    <t>Mutwanga</t>
  </si>
  <si>
    <t>CD6107ZS05</t>
  </si>
  <si>
    <t>Oicha</t>
  </si>
  <si>
    <t>CD6107ZS06</t>
  </si>
  <si>
    <t>Vuhovi</t>
  </si>
  <si>
    <t>CD6107ZS07</t>
  </si>
  <si>
    <t>Beni</t>
  </si>
  <si>
    <t>CD6109ZS01</t>
  </si>
  <si>
    <t>Butembo</t>
  </si>
  <si>
    <t>CD6110ZS01</t>
  </si>
  <si>
    <t>Bambo</t>
  </si>
  <si>
    <t>CD6111ZS01</t>
  </si>
  <si>
    <t>Binza</t>
  </si>
  <si>
    <t>CD6111ZS02</t>
  </si>
  <si>
    <t>Birambizo</t>
  </si>
  <si>
    <t>CD6111ZS03</t>
  </si>
  <si>
    <t>Kibirizi</t>
  </si>
  <si>
    <t>CD6111ZS04</t>
  </si>
  <si>
    <t>Rutshuru</t>
  </si>
  <si>
    <t>CD6111ZS05</t>
  </si>
  <si>
    <t>Rwanguba</t>
  </si>
  <si>
    <t>CD6111ZS06</t>
  </si>
  <si>
    <t>Bagira</t>
  </si>
  <si>
    <t>CD6201ZS01</t>
  </si>
  <si>
    <t>Ibanda</t>
  </si>
  <si>
    <t>CD6201ZS02</t>
  </si>
  <si>
    <t>Kadutu</t>
  </si>
  <si>
    <t>CD6201ZS03</t>
  </si>
  <si>
    <t>Kabare</t>
  </si>
  <si>
    <t>CD6202ZS01</t>
  </si>
  <si>
    <t>Kaniola</t>
  </si>
  <si>
    <t>CD6202ZS02</t>
  </si>
  <si>
    <t>Katana</t>
  </si>
  <si>
    <t>CD6202ZS03</t>
  </si>
  <si>
    <t>Miti-Murhesa</t>
  </si>
  <si>
    <t>CD6202ZS04</t>
  </si>
  <si>
    <t>Nyantende</t>
  </si>
  <si>
    <t>CD6202ZS05</t>
  </si>
  <si>
    <t>Kalole</t>
  </si>
  <si>
    <t>CD6203ZS01</t>
  </si>
  <si>
    <t>Lulingu</t>
  </si>
  <si>
    <t>CD6203ZS02</t>
  </si>
  <si>
    <t>Mulungu</t>
  </si>
  <si>
    <t>CD6203ZS03</t>
  </si>
  <si>
    <t>Shabunda</t>
  </si>
  <si>
    <t>CD6203ZS04</t>
  </si>
  <si>
    <t>Bunyakiri</t>
  </si>
  <si>
    <t>CD6205ZS01</t>
  </si>
  <si>
    <t>Kalehe</t>
  </si>
  <si>
    <t>CD6205ZS02</t>
  </si>
  <si>
    <t>Kalonge</t>
  </si>
  <si>
    <t>CD6205ZS03</t>
  </si>
  <si>
    <t>Minova</t>
  </si>
  <si>
    <t>CD6205ZS04</t>
  </si>
  <si>
    <t>Idjwi</t>
  </si>
  <si>
    <t>CD6206ZS01</t>
  </si>
  <si>
    <t>Kaziba</t>
  </si>
  <si>
    <t>CD6207ZS01</t>
  </si>
  <si>
    <t>Mubumbano</t>
  </si>
  <si>
    <t>CD6207ZS02</t>
  </si>
  <si>
    <t>Nyangezi</t>
  </si>
  <si>
    <t>CD6207ZS03</t>
  </si>
  <si>
    <t>Walungu</t>
  </si>
  <si>
    <t>CD6207ZS04</t>
  </si>
  <si>
    <t>Hauts-Plateaux</t>
  </si>
  <si>
    <t>CD6208ZS01</t>
  </si>
  <si>
    <t>Lemera</t>
  </si>
  <si>
    <t>CD6208ZS02</t>
  </si>
  <si>
    <t>Ruzizi</t>
  </si>
  <si>
    <t>CD6208ZS03</t>
  </si>
  <si>
    <t>Uvira</t>
  </si>
  <si>
    <t>CD6208ZS04</t>
  </si>
  <si>
    <t>Fizi</t>
  </si>
  <si>
    <t>CD6210ZS01</t>
  </si>
  <si>
    <t>Kimbi Lulenge</t>
  </si>
  <si>
    <t>CD6210ZS02</t>
  </si>
  <si>
    <t>Minembwe</t>
  </si>
  <si>
    <t>CD6210ZS03</t>
  </si>
  <si>
    <t>Nundu</t>
  </si>
  <si>
    <t>CD6210ZS04</t>
  </si>
  <si>
    <t>Itombwe</t>
  </si>
  <si>
    <t>CD6212ZS01</t>
  </si>
  <si>
    <t>Kamituga</t>
  </si>
  <si>
    <t>CD6212ZS02</t>
  </si>
  <si>
    <t>Kitutu</t>
  </si>
  <si>
    <t>CD6212ZS03</t>
  </si>
  <si>
    <t>Mwana</t>
  </si>
  <si>
    <t>CD6212ZS04</t>
  </si>
  <si>
    <t>Mwenga</t>
  </si>
  <si>
    <t>CD6212ZS05</t>
  </si>
  <si>
    <t>Alunguli</t>
  </si>
  <si>
    <t>CD6301ZS01</t>
  </si>
  <si>
    <t>Kindu</t>
  </si>
  <si>
    <t>CD6301ZS02</t>
  </si>
  <si>
    <t>Kailo</t>
  </si>
  <si>
    <t>CD6302ZS01</t>
  </si>
  <si>
    <t>Ferekeni</t>
  </si>
  <si>
    <t>CD6303ZS01</t>
  </si>
  <si>
    <t>Punia</t>
  </si>
  <si>
    <t>CD6303ZS02</t>
  </si>
  <si>
    <t>Lubutu</t>
  </si>
  <si>
    <t>CD6305ZS01</t>
  </si>
  <si>
    <t>Obokote</t>
  </si>
  <si>
    <t>CD6305ZS02</t>
  </si>
  <si>
    <t>Kampene</t>
  </si>
  <si>
    <t>CD6307ZS02</t>
  </si>
  <si>
    <t>Kabambare</t>
  </si>
  <si>
    <t>CD6309ZS01</t>
  </si>
  <si>
    <t>Lusangi</t>
  </si>
  <si>
    <t>CD6309ZS02</t>
  </si>
  <si>
    <t>Saramabila</t>
  </si>
  <si>
    <t>CD6309ZS03</t>
  </si>
  <si>
    <t>Kasongo</t>
  </si>
  <si>
    <t>CD6311ZS01</t>
  </si>
  <si>
    <t>Samba</t>
  </si>
  <si>
    <t>CD6311ZS03</t>
  </si>
  <si>
    <t>Kibombo</t>
  </si>
  <si>
    <t>CD6313ZS01</t>
  </si>
  <si>
    <t>Kamalondo</t>
  </si>
  <si>
    <t>CD7101ZS01</t>
  </si>
  <si>
    <t>Kampemba</t>
  </si>
  <si>
    <t>CD7101ZS02</t>
  </si>
  <si>
    <t>Katuba</t>
  </si>
  <si>
    <t>CD7101ZS03</t>
  </si>
  <si>
    <t>Kenya</t>
  </si>
  <si>
    <t>CD7101ZS04</t>
  </si>
  <si>
    <t>Kisanga</t>
  </si>
  <si>
    <t>CD7101ZS05</t>
  </si>
  <si>
    <t>Lubumbashi</t>
  </si>
  <si>
    <t>CD7101ZS07</t>
  </si>
  <si>
    <t>Mumbunda</t>
  </si>
  <si>
    <t>CD7101ZS08</t>
  </si>
  <si>
    <t>Rwashi</t>
  </si>
  <si>
    <t>CD7101ZS09</t>
  </si>
  <si>
    <t>Tshamilemba</t>
  </si>
  <si>
    <t>CD7101ZS10</t>
  </si>
  <si>
    <t>Vangu</t>
  </si>
  <si>
    <t>CD7101ZS11</t>
  </si>
  <si>
    <t>Kafubu</t>
  </si>
  <si>
    <t>CD7102ZS01</t>
  </si>
  <si>
    <t>Kipushi</t>
  </si>
  <si>
    <t>CD7102ZS02</t>
  </si>
  <si>
    <t>Sakania</t>
  </si>
  <si>
    <t>CD7104ZS01</t>
  </si>
  <si>
    <t>Kapolowe</t>
  </si>
  <si>
    <t>CD7105ZS02</t>
  </si>
  <si>
    <t>Kasenga</t>
  </si>
  <si>
    <t>CD7107ZS01</t>
  </si>
  <si>
    <t>Kikula</t>
  </si>
  <si>
    <t>CD7107ZS02</t>
  </si>
  <si>
    <t>Lukafu</t>
  </si>
  <si>
    <t>CD7107ZS03</t>
  </si>
  <si>
    <t>Mitwaba</t>
  </si>
  <si>
    <t>CD7108ZS01</t>
  </si>
  <si>
    <t>Mufunga Sampwe</t>
  </si>
  <si>
    <t>CD7108ZS02</t>
  </si>
  <si>
    <t>Kilwa</t>
  </si>
  <si>
    <t>CD7109ZS01</t>
  </si>
  <si>
    <t>Pweto</t>
  </si>
  <si>
    <t>CD7109ZS02</t>
  </si>
  <si>
    <t>Lualaba</t>
  </si>
  <si>
    <t>CD7202ZS02</t>
  </si>
  <si>
    <t>Bunkeya</t>
  </si>
  <si>
    <t>CD7203ZS01</t>
  </si>
  <si>
    <t>Fungurume</t>
  </si>
  <si>
    <t>CD7203ZS02</t>
  </si>
  <si>
    <t>Kinkondja</t>
  </si>
  <si>
    <t>CD7305ZS01</t>
  </si>
  <si>
    <t>Lwamba</t>
  </si>
  <si>
    <t>CD7305ZS02</t>
  </si>
  <si>
    <t>Mukanga</t>
  </si>
  <si>
    <t>CD7305ZS03</t>
  </si>
  <si>
    <t>Mulongo</t>
  </si>
  <si>
    <t>CD7305ZS04</t>
  </si>
  <si>
    <t>Bukama</t>
  </si>
  <si>
    <t>CD7306ZS01</t>
  </si>
  <si>
    <t>Butumba</t>
  </si>
  <si>
    <t>CD7306ZS02</t>
  </si>
  <si>
    <t>Kabondo Dianda</t>
  </si>
  <si>
    <t>CD7306ZS03</t>
  </si>
  <si>
    <t>Malemba</t>
  </si>
  <si>
    <t>CD7306ZS04</t>
  </si>
  <si>
    <t>Kalemie</t>
  </si>
  <si>
    <t>CD7402ZS01</t>
  </si>
  <si>
    <t>Nyemba</t>
  </si>
  <si>
    <t>CD7402ZS02</t>
  </si>
  <si>
    <t>Kansimba</t>
  </si>
  <si>
    <t>CD7404ZS01</t>
  </si>
  <si>
    <t>Moba</t>
  </si>
  <si>
    <t>CD7404ZS02</t>
  </si>
  <si>
    <t>Ankoro</t>
  </si>
  <si>
    <t>CD7406ZS01</t>
  </si>
  <si>
    <t>Kiyambi</t>
  </si>
  <si>
    <t>CD7406ZS02</t>
  </si>
  <si>
    <t>Manono</t>
  </si>
  <si>
    <t>CD7406ZS03</t>
  </si>
  <si>
    <t>Kabalo</t>
  </si>
  <si>
    <t>CD7407ZS01</t>
  </si>
  <si>
    <t>Kongolo</t>
  </si>
  <si>
    <t>CD7409ZS01</t>
  </si>
  <si>
    <t>Mbulula</t>
  </si>
  <si>
    <t>CD7409ZS02</t>
  </si>
  <si>
    <t>Nyunzu</t>
  </si>
  <si>
    <t>CD7410ZS01</t>
  </si>
  <si>
    <t>Muya</t>
  </si>
  <si>
    <t>CD8201ZS09</t>
  </si>
  <si>
    <t>Kasansa</t>
  </si>
  <si>
    <t>CD8202ZS01</t>
  </si>
  <si>
    <t>Mukumbi</t>
  </si>
  <si>
    <t>CD8208ZS01</t>
  </si>
  <si>
    <t>Lusambo</t>
  </si>
  <si>
    <t>CD8302ZS01</t>
  </si>
  <si>
    <t>Pania Mutombo</t>
  </si>
  <si>
    <t>CD8302ZS03</t>
  </si>
  <si>
    <t>Kananga</t>
  </si>
  <si>
    <t>CD9101ZS02</t>
  </si>
  <si>
    <t>Tshikaji</t>
  </si>
  <si>
    <t>CD9101ZS06</t>
  </si>
  <si>
    <t>Dibaya</t>
  </si>
  <si>
    <t>CD9102ZS02</t>
  </si>
  <si>
    <t>CD9107ZS03</t>
  </si>
  <si>
    <t>Kalonda Ouest</t>
  </si>
  <si>
    <t>CD9202ZS01</t>
  </si>
  <si>
    <t>Kamonia</t>
  </si>
  <si>
    <t>CD9202ZS02</t>
  </si>
  <si>
    <t>Kanzala</t>
  </si>
  <si>
    <t>CD9202ZS04</t>
  </si>
  <si>
    <t>Nyanga</t>
  </si>
  <si>
    <t>CD9202ZS07</t>
  </si>
  <si>
    <t>Tshikapa</t>
  </si>
  <si>
    <t>CD9202ZS08</t>
  </si>
  <si>
    <t>Luebo</t>
  </si>
  <si>
    <t>CD9204ZS01</t>
  </si>
  <si>
    <t>Ndjoko-Mpunda</t>
  </si>
  <si>
    <t>CD9204ZS02</t>
  </si>
  <si>
    <t>Banga Lubaka</t>
  </si>
  <si>
    <t>CD9205ZS01</t>
  </si>
  <si>
    <t>Ilebo</t>
  </si>
  <si>
    <t>CD9205ZS02</t>
  </si>
  <si>
    <t>Kakenge</t>
  </si>
  <si>
    <t>CD9207ZS02</t>
  </si>
  <si>
    <t>Mushenge</t>
  </si>
  <si>
    <t>CD9207ZS03</t>
  </si>
  <si>
    <t>2026HNO scope</t>
  </si>
  <si>
    <t>CD1000ZS01</t>
  </si>
  <si>
    <t>CD1000ZS02</t>
  </si>
  <si>
    <t>CD1000ZS03</t>
  </si>
  <si>
    <t>CD1000ZS05</t>
  </si>
  <si>
    <t>CD1000ZS06</t>
  </si>
  <si>
    <t>CD1000ZS07</t>
  </si>
  <si>
    <t>CD1000ZS08</t>
  </si>
  <si>
    <t>CD1000ZS09</t>
  </si>
  <si>
    <t>CD1000ZS10</t>
  </si>
  <si>
    <t>CD1000ZS11</t>
  </si>
  <si>
    <t>CD1000ZS12</t>
  </si>
  <si>
    <t>CD1000ZS14</t>
  </si>
  <si>
    <t>CD1000ZS15</t>
  </si>
  <si>
    <t>CD1000ZS16</t>
  </si>
  <si>
    <t>CD1000ZS18</t>
  </si>
  <si>
    <t>CD1000ZS19</t>
  </si>
  <si>
    <t>CD1000ZS21</t>
  </si>
  <si>
    <t>CD1000ZS22</t>
  </si>
  <si>
    <t>CD1000ZS26</t>
  </si>
  <si>
    <t>CD1000ZS31</t>
  </si>
  <si>
    <t>CD1000ZS32</t>
  </si>
  <si>
    <t>CD1000ZS33</t>
  </si>
  <si>
    <t>CD1000ZS34</t>
  </si>
  <si>
    <t>CD1000ZS35</t>
  </si>
  <si>
    <t>CD2001ZS01</t>
  </si>
  <si>
    <t>CD2001ZS02</t>
  </si>
  <si>
    <t>CD2002ZS01</t>
  </si>
  <si>
    <t>CD2003ZS01</t>
  </si>
  <si>
    <t>CD2003ZS02</t>
  </si>
  <si>
    <t>CD2003ZS03</t>
  </si>
  <si>
    <t>CD2005ZS01</t>
  </si>
  <si>
    <t>CD2005ZS02</t>
  </si>
  <si>
    <t>CD2007ZS01</t>
  </si>
  <si>
    <t>CD2007ZS02</t>
  </si>
  <si>
    <t>CD2007ZS03</t>
  </si>
  <si>
    <t>CD2007ZS04</t>
  </si>
  <si>
    <t>CD2007ZS05</t>
  </si>
  <si>
    <t>CD2009ZS01</t>
  </si>
  <si>
    <t>CD2009ZS02</t>
  </si>
  <si>
    <t>CD2010ZS01</t>
  </si>
  <si>
    <t>CD2010ZS02</t>
  </si>
  <si>
    <t>CD2010ZS03</t>
  </si>
  <si>
    <t>CD2011ZS01</t>
  </si>
  <si>
    <t>CD2011ZS02</t>
  </si>
  <si>
    <t>CD2013ZS01</t>
  </si>
  <si>
    <t>CD2013ZS02</t>
  </si>
  <si>
    <t>CD2013ZS03</t>
  </si>
  <si>
    <t>CD2013ZS04</t>
  </si>
  <si>
    <t>CD2013ZS05</t>
  </si>
  <si>
    <t>CD2015ZS01</t>
  </si>
  <si>
    <t>CD2015ZS02</t>
  </si>
  <si>
    <t>CD2017ZS01</t>
  </si>
  <si>
    <t>CD2017ZS02</t>
  </si>
  <si>
    <t>CD2017ZS03</t>
  </si>
  <si>
    <t>CD2019ZS01</t>
  </si>
  <si>
    <t>CD3102ZS03</t>
  </si>
  <si>
    <t>CD3103ZS01</t>
  </si>
  <si>
    <t>CD3103ZS02</t>
  </si>
  <si>
    <t>CD3103ZS03</t>
  </si>
  <si>
    <t>CD3105ZS01</t>
  </si>
  <si>
    <t>CD3105ZS02</t>
  </si>
  <si>
    <t>CD3106ZS01</t>
  </si>
  <si>
    <t>CD3106ZS02</t>
  </si>
  <si>
    <t>CD3106ZS04</t>
  </si>
  <si>
    <t>CD3106ZS05</t>
  </si>
  <si>
    <t>CD3202ZS03</t>
  </si>
  <si>
    <t>CD3203ZS02</t>
  </si>
  <si>
    <t>CD3204ZS01</t>
  </si>
  <si>
    <t>CD3204ZS02</t>
  </si>
  <si>
    <t>CD3204ZS03</t>
  </si>
  <si>
    <t>CD3204ZS04</t>
  </si>
  <si>
    <t>CD3204ZS05</t>
  </si>
  <si>
    <t>CD3206ZS01</t>
  </si>
  <si>
    <t>CD3206ZS02</t>
  </si>
  <si>
    <t>CD3206ZS03</t>
  </si>
  <si>
    <t>CD3206ZS04</t>
  </si>
  <si>
    <t>CD3206ZS05</t>
  </si>
  <si>
    <t>CD3206ZS06</t>
  </si>
  <si>
    <t>CD3210ZS01</t>
  </si>
  <si>
    <t>CD3210ZS02</t>
  </si>
  <si>
    <t>CD3210ZS03</t>
  </si>
  <si>
    <t>CD3212ZS01</t>
  </si>
  <si>
    <t>CD3212ZS02</t>
  </si>
  <si>
    <t>CD3212ZS04</t>
  </si>
  <si>
    <t>CD3302ZS01</t>
  </si>
  <si>
    <t>CD3302ZS02</t>
  </si>
  <si>
    <t>CD3302ZS03</t>
  </si>
  <si>
    <t>CD3303ZS01</t>
  </si>
  <si>
    <t>CD3303ZS02</t>
  </si>
  <si>
    <t>CD3304ZS01</t>
  </si>
  <si>
    <t>CD3304ZS02</t>
  </si>
  <si>
    <t>CD3304ZS03</t>
  </si>
  <si>
    <t>CD3306ZS01</t>
  </si>
  <si>
    <t>CD3306ZS02</t>
  </si>
  <si>
    <t>CD3308ZS01</t>
  </si>
  <si>
    <t>CD3310ZS01</t>
  </si>
  <si>
    <t>CD3311ZS01</t>
  </si>
  <si>
    <t>CD4101ZS01</t>
  </si>
  <si>
    <t>CD4101ZS02</t>
  </si>
  <si>
    <t>CD4101ZS03</t>
  </si>
  <si>
    <t>CD4102ZS01</t>
  </si>
  <si>
    <t>CD4102ZS02</t>
  </si>
  <si>
    <t>CD4102ZS03</t>
  </si>
  <si>
    <t>CD4103ZS01</t>
  </si>
  <si>
    <t>CD4103ZS02</t>
  </si>
  <si>
    <t>CD4104ZS01</t>
  </si>
  <si>
    <t>CD4104ZS02</t>
  </si>
  <si>
    <t>CD4105ZS01</t>
  </si>
  <si>
    <t>CD4107ZS01</t>
  </si>
  <si>
    <t>CD4107ZS02</t>
  </si>
  <si>
    <t>CD4108ZS01</t>
  </si>
  <si>
    <t>CD4108ZS02</t>
  </si>
  <si>
    <t>CD4108ZS03</t>
  </si>
  <si>
    <t>CD4109ZS01</t>
  </si>
  <si>
    <t>CD4109ZS02</t>
  </si>
  <si>
    <t>CD4202ZS01</t>
  </si>
  <si>
    <t>CD4202ZS02</t>
  </si>
  <si>
    <t>CD4202ZS03</t>
  </si>
  <si>
    <t>CD4202ZS04</t>
  </si>
  <si>
    <t>CD4202ZS05</t>
  </si>
  <si>
    <t>CD4203ZS01</t>
  </si>
  <si>
    <t>CD4203ZS02</t>
  </si>
  <si>
    <t>CD4203ZS03</t>
  </si>
  <si>
    <t>CD4203ZS04</t>
  </si>
  <si>
    <t>CD4203ZS05</t>
  </si>
  <si>
    <t>CD4204ZS01</t>
  </si>
  <si>
    <t>CD4204ZS02</t>
  </si>
  <si>
    <t>CD4204ZS03</t>
  </si>
  <si>
    <t>CD4205ZS01</t>
  </si>
  <si>
    <t>CD4205ZS02</t>
  </si>
  <si>
    <t>CD4206ZS01</t>
  </si>
  <si>
    <t>CD4301ZS01</t>
  </si>
  <si>
    <t>CD4302ZS01</t>
  </si>
  <si>
    <t>CD4304ZS01</t>
  </si>
  <si>
    <t>CD4304ZS02</t>
  </si>
  <si>
    <t>CD4304ZS03</t>
  </si>
  <si>
    <t>CD4304ZS04</t>
  </si>
  <si>
    <t>CD4305ZS01</t>
  </si>
  <si>
    <t>CD4305ZS02</t>
  </si>
  <si>
    <t>CD4305ZS03</t>
  </si>
  <si>
    <t>CD4306ZS01</t>
  </si>
  <si>
    <t>CD4306ZS02</t>
  </si>
  <si>
    <t>CD4402ZS01</t>
  </si>
  <si>
    <t>CD4402ZS02</t>
  </si>
  <si>
    <t>CD4402ZS03</t>
  </si>
  <si>
    <t>CD4404ZS01</t>
  </si>
  <si>
    <t>CD4404ZS02</t>
  </si>
  <si>
    <t>CD4404ZS03</t>
  </si>
  <si>
    <t>CD4404ZS04</t>
  </si>
  <si>
    <t>CD4404ZS05</t>
  </si>
  <si>
    <t>CD4405ZS01</t>
  </si>
  <si>
    <t>CD4405ZS02</t>
  </si>
  <si>
    <t>CD4405ZS03</t>
  </si>
  <si>
    <t>CD4405ZS04</t>
  </si>
  <si>
    <t>CD4502ZS01</t>
  </si>
  <si>
    <t>CD4502ZS02</t>
  </si>
  <si>
    <t>CD4503ZS01</t>
  </si>
  <si>
    <t>CD4503ZS02</t>
  </si>
  <si>
    <t>CD4504ZS01</t>
  </si>
  <si>
    <t>CD4504ZS02</t>
  </si>
  <si>
    <t>CD4505ZS01</t>
  </si>
  <si>
    <t>CD4505ZS02</t>
  </si>
  <si>
    <t>CD4506ZS01</t>
  </si>
  <si>
    <t>CD4506ZS02</t>
  </si>
  <si>
    <t>CD4506ZS03</t>
  </si>
  <si>
    <t>CD4507ZS01</t>
  </si>
  <si>
    <t>CD5102ZS01</t>
  </si>
  <si>
    <t>CD5103ZS01</t>
  </si>
  <si>
    <t>CD5103ZS02</t>
  </si>
  <si>
    <t>CD5105ZS01</t>
  </si>
  <si>
    <t>CD5105ZS02</t>
  </si>
  <si>
    <t>CD5105ZS03</t>
  </si>
  <si>
    <t>CD5107ZS01</t>
  </si>
  <si>
    <t>CD5109ZS01</t>
  </si>
  <si>
    <t>CD5109ZS03</t>
  </si>
  <si>
    <t>CD5110ZS01</t>
  </si>
  <si>
    <t>CD5110ZS02</t>
  </si>
  <si>
    <t>CD5111ZS01</t>
  </si>
  <si>
    <t>CD5111ZS03</t>
  </si>
  <si>
    <t>CD5202ZS02</t>
  </si>
  <si>
    <t>CD5204ZS01</t>
  </si>
  <si>
    <t>CD5204ZS02</t>
  </si>
  <si>
    <t>CD5206ZS01</t>
  </si>
  <si>
    <t>CD5206ZS02</t>
  </si>
  <si>
    <t>CD5206ZS03</t>
  </si>
  <si>
    <t>CD5207ZS01</t>
  </si>
  <si>
    <t>CD5208ZS01</t>
  </si>
  <si>
    <t>CD5208ZS02</t>
  </si>
  <si>
    <t>CD5209ZS01</t>
  </si>
  <si>
    <t>CD5302ZS01</t>
  </si>
  <si>
    <t>CD5302ZS02</t>
  </si>
  <si>
    <t>CD5303ZS01</t>
  </si>
  <si>
    <t>CD5305ZS01</t>
  </si>
  <si>
    <t>CD5307ZS01</t>
  </si>
  <si>
    <t>CD5307ZS02</t>
  </si>
  <si>
    <t>CD5307ZS03</t>
  </si>
  <si>
    <t>CD5309ZS02</t>
  </si>
  <si>
    <t>CD5311ZS01</t>
  </si>
  <si>
    <t>CD5311ZS02</t>
  </si>
  <si>
    <t>CD5311ZS03</t>
  </si>
  <si>
    <t>CD5403ZS04</t>
  </si>
  <si>
    <t>CD5405ZS02</t>
  </si>
  <si>
    <t>CD5409ZS01</t>
  </si>
  <si>
    <t>CD5409ZS02</t>
  </si>
  <si>
    <t>CD5409ZS03</t>
  </si>
  <si>
    <t>CD5409ZS06</t>
  </si>
  <si>
    <t>CD6110ZS02</t>
  </si>
  <si>
    <t>CD6307ZS01</t>
  </si>
  <si>
    <t>CD6307ZS03</t>
  </si>
  <si>
    <t>CD6311ZS02</t>
  </si>
  <si>
    <t>CD6313ZS02</t>
  </si>
  <si>
    <t>CD7101ZS06</t>
  </si>
  <si>
    <t>CD7105ZS01</t>
  </si>
  <si>
    <t>CD7105ZS03</t>
  </si>
  <si>
    <t>CD7105ZS04</t>
  </si>
  <si>
    <t>CD7105ZS05</t>
  </si>
  <si>
    <t>CD7106ZS01</t>
  </si>
  <si>
    <t>CD7107ZS04</t>
  </si>
  <si>
    <t>CD7202ZS01</t>
  </si>
  <si>
    <t>CD7202ZS03</t>
  </si>
  <si>
    <t>CD7203ZS03</t>
  </si>
  <si>
    <t>CD7203ZS04</t>
  </si>
  <si>
    <t>CD7205ZS01</t>
  </si>
  <si>
    <t>CD7205ZS02</t>
  </si>
  <si>
    <t>CD7206ZS01</t>
  </si>
  <si>
    <t>CD7206ZS02</t>
  </si>
  <si>
    <t>CD7207ZS01</t>
  </si>
  <si>
    <t>CD7207ZS02</t>
  </si>
  <si>
    <t>CD7302ZS01</t>
  </si>
  <si>
    <t>CD7302ZS02</t>
  </si>
  <si>
    <t>CD7302ZS03</t>
  </si>
  <si>
    <t>CD7302ZS04</t>
  </si>
  <si>
    <t>CD7303ZS01</t>
  </si>
  <si>
    <t>CD7304ZS01</t>
  </si>
  <si>
    <t>CD7304ZS02</t>
  </si>
  <si>
    <t>CD7304ZS03</t>
  </si>
  <si>
    <t>CD8102ZS01</t>
  </si>
  <si>
    <t>CD8102ZS02</t>
  </si>
  <si>
    <t>CD8102ZS03</t>
  </si>
  <si>
    <t>CD8103ZS01</t>
  </si>
  <si>
    <t>CD8103ZS02</t>
  </si>
  <si>
    <t>CD8104ZS01</t>
  </si>
  <si>
    <t>CD8104ZS02</t>
  </si>
  <si>
    <t>CD8104ZS03</t>
  </si>
  <si>
    <t>CD8104ZS04</t>
  </si>
  <si>
    <t>CD8105ZS01</t>
  </si>
  <si>
    <t>CD8106ZS01</t>
  </si>
  <si>
    <t>CD8106ZS02</t>
  </si>
  <si>
    <t>CD8106ZS03</t>
  </si>
  <si>
    <t>CD8108ZS01</t>
  </si>
  <si>
    <t>CD8108ZS02</t>
  </si>
  <si>
    <t>CD8108ZS03</t>
  </si>
  <si>
    <t>CD8201ZS01</t>
  </si>
  <si>
    <t>CD8201ZS02</t>
  </si>
  <si>
    <t>CD8201ZS03</t>
  </si>
  <si>
    <t>CD8201ZS04</t>
  </si>
  <si>
    <t>CD8201ZS05</t>
  </si>
  <si>
    <t>CD8201ZS06</t>
  </si>
  <si>
    <t>CD8201ZS07</t>
  </si>
  <si>
    <t>CD8201ZS08</t>
  </si>
  <si>
    <t>CD8201ZS10</t>
  </si>
  <si>
    <t>CD8202ZS02</t>
  </si>
  <si>
    <t>CD8205ZS01</t>
  </si>
  <si>
    <t>CD8205ZS02</t>
  </si>
  <si>
    <t>CD8207ZS01</t>
  </si>
  <si>
    <t>CD8208ZS02</t>
  </si>
  <si>
    <t>CD8209ZS01</t>
  </si>
  <si>
    <t>CD8209ZS02</t>
  </si>
  <si>
    <t>CD8302ZS02</t>
  </si>
  <si>
    <t>CD8303ZS01</t>
  </si>
  <si>
    <t>CD8303ZS02</t>
  </si>
  <si>
    <t>CD8303ZS03</t>
  </si>
  <si>
    <t>CD8306ZS01</t>
  </si>
  <si>
    <t>CD8306ZS02</t>
  </si>
  <si>
    <t>CD8307ZS01</t>
  </si>
  <si>
    <t>CD8307ZS02</t>
  </si>
  <si>
    <t>CD8308ZS01</t>
  </si>
  <si>
    <t>CD8308ZS02</t>
  </si>
  <si>
    <t>CD8308ZS03</t>
  </si>
  <si>
    <t>CD8309ZS01</t>
  </si>
  <si>
    <t>CD8309ZS02</t>
  </si>
  <si>
    <t>CD8309ZS03</t>
  </si>
  <si>
    <t>CD9101ZS01</t>
  </si>
  <si>
    <t>CD9101ZS03</t>
  </si>
  <si>
    <t>CD9101ZS04</t>
  </si>
  <si>
    <t>CD9101ZS05</t>
  </si>
  <si>
    <t>CD9102ZS01</t>
  </si>
  <si>
    <t>CD9102ZS03</t>
  </si>
  <si>
    <t>CD9102ZS04</t>
  </si>
  <si>
    <t>CD9104ZS01</t>
  </si>
  <si>
    <t>CD9104ZS02</t>
  </si>
  <si>
    <t>CD9104ZS03</t>
  </si>
  <si>
    <t>CD9104ZS04</t>
  </si>
  <si>
    <t>CD9105ZS01</t>
  </si>
  <si>
    <t>CD9105ZS02</t>
  </si>
  <si>
    <t>CD9105ZS03</t>
  </si>
  <si>
    <t>CD9105ZS04</t>
  </si>
  <si>
    <t>CD9105ZS05</t>
  </si>
  <si>
    <t>CD9106ZS01</t>
  </si>
  <si>
    <t>CD9106ZS02</t>
  </si>
  <si>
    <t>CD9106ZS03</t>
  </si>
  <si>
    <t>CD9107ZS01</t>
  </si>
  <si>
    <t>CD9107ZS02</t>
  </si>
  <si>
    <t>CD9107ZS04</t>
  </si>
  <si>
    <t>CD9202ZS03</t>
  </si>
  <si>
    <t>CD9202ZS05</t>
  </si>
  <si>
    <t>CD9202ZS06</t>
  </si>
  <si>
    <t>CD9205ZS03</t>
  </si>
  <si>
    <t>CD9207ZS01</t>
  </si>
  <si>
    <t>CD9207ZS04</t>
  </si>
  <si>
    <t>CD9208ZS01</t>
  </si>
  <si>
    <t>2025HNO scope</t>
  </si>
  <si>
    <t>CD000ZS00</t>
  </si>
  <si>
    <t>MSNA 2024</t>
  </si>
  <si>
    <t>adminMSNA2025</t>
  </si>
  <si>
    <t>Count of 2025HNO scope</t>
  </si>
  <si>
    <t>Count of 2026HNO scope</t>
  </si>
  <si>
    <t>Count of MSNA 2024</t>
  </si>
  <si>
    <t>Count of adminMSNA2025</t>
  </si>
  <si>
    <t>(All)</t>
  </si>
  <si>
    <t>Admin 3</t>
  </si>
  <si>
    <t>Admin 3 P-Code</t>
  </si>
  <si>
    <t>Poche de besoin</t>
  </si>
  <si>
    <t>Portée</t>
  </si>
  <si>
    <t>Population</t>
  </si>
  <si>
    <t>Grp Education</t>
  </si>
  <si>
    <t>PDI Site</t>
  </si>
  <si>
    <t>PDI FA</t>
  </si>
  <si>
    <t>Retournés</t>
  </si>
  <si>
    <t>FAMAC</t>
  </si>
  <si>
    <t>Hôtes</t>
  </si>
  <si>
    <t>ratio</t>
  </si>
  <si>
    <t>edu PDI Site</t>
  </si>
  <si>
    <t>edu PDI FA</t>
  </si>
  <si>
    <t>edu Returnes</t>
  </si>
  <si>
    <t>edu Hotes</t>
  </si>
  <si>
    <t>edu 5 y.o.</t>
  </si>
  <si>
    <t>edu girls 5-17</t>
  </si>
  <si>
    <t>edu boys 5-17</t>
  </si>
  <si>
    <t>EDUCATION 5-17</t>
  </si>
  <si>
    <t>5---9</t>
  </si>
  <si>
    <t>10---14</t>
  </si>
  <si>
    <t>15---19</t>
  </si>
  <si>
    <t>15---17</t>
  </si>
  <si>
    <t>province</t>
  </si>
  <si>
    <t>CD10</t>
  </si>
  <si>
    <t>CD20</t>
  </si>
  <si>
    <t>CD31</t>
  </si>
  <si>
    <t>CD32</t>
  </si>
  <si>
    <t>CD33</t>
  </si>
  <si>
    <t>CD41</t>
  </si>
  <si>
    <t>CD42</t>
  </si>
  <si>
    <t>CD43</t>
  </si>
  <si>
    <t>CD44</t>
  </si>
  <si>
    <t>CD45</t>
  </si>
  <si>
    <t>CD51</t>
  </si>
  <si>
    <t>CD52</t>
  </si>
  <si>
    <t>CD53</t>
  </si>
  <si>
    <t>CD54</t>
  </si>
  <si>
    <t>CD61</t>
  </si>
  <si>
    <t>CD62</t>
  </si>
  <si>
    <t>CD63</t>
  </si>
  <si>
    <t>CD71</t>
  </si>
  <si>
    <t>CD72</t>
  </si>
  <si>
    <t>CD73</t>
  </si>
  <si>
    <t>CD74</t>
  </si>
  <si>
    <t>CD81</t>
  </si>
  <si>
    <t>CD82</t>
  </si>
  <si>
    <t>CD83</t>
  </si>
  <si>
    <t>CD91</t>
  </si>
  <si>
    <t>CD92</t>
  </si>
  <si>
    <t>6-11 y.o.</t>
  </si>
  <si>
    <t>12-17 y.o.</t>
  </si>
  <si>
    <t>edu FAMAC</t>
  </si>
  <si>
    <t xml:space="preserve">EDUCATION 5-17 with FAMAC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</si>
</sst>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i/>
      <sz val="8"/>
      <name val="Aptos Narrow"/>
      <family val="2"/>
      <scheme val="minor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D8D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9" fontId="20" fillId="0" borderId="0" applyFont="0" applyFill="0" applyBorder="0" applyAlignment="0" applyProtection="0"/>
  </cellStyleXfs>
  <cellXfs count="40">
    <xf numFmtId="0" fontId="0" fillId="0" borderId="0" xfId="0"/>
    <xf numFmtId="0" fontId="10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9" borderId="0" xfId="0" applyFont="1" applyFill="1"/>
    <xf numFmtId="0" fontId="6" fillId="7" borderId="3" xfId="1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 vertical="center" wrapText="1"/>
    </xf>
    <xf numFmtId="0" fontId="17" fillId="5" borderId="3" xfId="1" applyFont="1" applyFill="1" applyBorder="1" applyAlignment="1">
      <alignment horizontal="center" vertical="center" wrapText="1"/>
    </xf>
    <xf numFmtId="0" fontId="18" fillId="6" borderId="4" xfId="1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9" fillId="10" borderId="1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" fontId="0" fillId="10" borderId="1" xfId="0" applyNumberFormat="1" applyFill="1" applyBorder="1"/>
    <xf numFmtId="0" fontId="0" fillId="10" borderId="1" xfId="0" applyFill="1" applyBorder="1"/>
    <xf numFmtId="0" fontId="1" fillId="9" borderId="1" xfId="0" applyFont="1" applyFill="1" applyBorder="1" applyAlignment="1">
      <alignment horizontal="center" vertical="center" wrapText="1"/>
    </xf>
    <xf numFmtId="1" fontId="0" fillId="9" borderId="1" xfId="0" applyNumberFormat="1" applyFill="1" applyBorder="1"/>
    <xf numFmtId="0" fontId="0" fillId="9" borderId="1" xfId="0" applyFill="1" applyBorder="1"/>
    <xf numFmtId="0" fontId="21" fillId="5" borderId="5" xfId="0" applyFont="1" applyFill="1" applyBorder="1" applyAlignment="1">
      <alignment vertical="center" wrapText="1"/>
    </xf>
    <xf numFmtId="0" fontId="21" fillId="3" borderId="5" xfId="0" applyFont="1" applyFill="1" applyBorder="1" applyAlignment="1">
      <alignment vertical="center" wrapText="1"/>
    </xf>
    <xf numFmtId="10" fontId="0" fillId="0" borderId="0" xfId="2" applyNumberFormat="1" applyFont="1" applyBorder="1"/>
    <xf numFmtId="10" fontId="22" fillId="0" borderId="0" xfId="2" applyNumberFormat="1" applyFont="1" applyBorder="1"/>
    <xf numFmtId="10" fontId="0" fillId="0" borderId="0" xfId="2" applyNumberFormat="1" applyFont="1"/>
    <xf numFmtId="10" fontId="0" fillId="0" borderId="0" xfId="2" applyNumberFormat="1" applyFont="1" applyFill="1" applyBorder="1"/>
    <xf numFmtId="0" fontId="3" fillId="11" borderId="0" xfId="0" applyFont="1" applyFill="1"/>
    <xf numFmtId="0" fontId="2" fillId="0" borderId="0" xfId="0" applyFont="1"/>
    <xf numFmtId="0" fontId="0" fillId="12" borderId="0" xfId="0" applyFill="1"/>
    <xf numFmtId="10" fontId="22" fillId="12" borderId="0" xfId="2" applyNumberFormat="1" applyFont="1" applyFill="1" applyBorder="1"/>
    <xf numFmtId="0" fontId="0" fillId="10" borderId="0" xfId="0" applyFill="1"/>
    <xf numFmtId="2" fontId="0" fillId="10" borderId="0" xfId="2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6" fontId="1" fillId="10" borderId="5" xfId="0" applyNumberFormat="1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Normal 4" xfId="1" xr:uid="{71695770-2CA8-438C-96D1-ED3328163623}"/>
    <cellStyle name="Percent" xfId="2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a.vit" refreshedDate="45919.425606365738" createdVersion="8" refreshedVersion="8" minRefreshableVersion="3" recordCount="519" xr:uid="{CA272370-369B-4572-A282-122E6DBCCD19}">
  <cacheSource type="worksheet">
    <worksheetSource ref="A1:D520" sheet="Sheet1"/>
  </cacheSource>
  <cacheFields count="4">
    <cacheField name="2026HNO scope" numFmtId="0">
      <sharedItems containsBlank="1" count="209">
        <s v="CD1000ZS04"/>
        <s v="CD1000ZS13"/>
        <s v="CD1000ZS17"/>
        <s v="CD1000ZS20"/>
        <s v="CD1000ZS23"/>
        <s v="CD1000ZS24"/>
        <s v="CD1000ZS25"/>
        <s v="CD1000ZS27"/>
        <s v="CD1000ZS28"/>
        <s v="CD1000ZS29"/>
        <s v="CD1000ZS30"/>
        <s v="CD3102ZS01"/>
        <s v="CD3102ZS02"/>
        <s v="CD3106ZS03"/>
        <s v="CD3108ZS01"/>
        <s v="CD3201ZS01"/>
        <s v="CD3202ZS01"/>
        <s v="CD3202ZS02"/>
        <s v="CD3203ZS01"/>
        <s v="CD3212ZS03"/>
        <s v="CD3307ZS01"/>
        <s v="CD5101ZS01"/>
        <s v="CD5101ZS02"/>
        <s v="CD5101ZS03"/>
        <s v="CD5101ZS04"/>
        <s v="CD5101ZS05"/>
        <s v="CD5102ZS02"/>
        <s v="CD5102ZS03"/>
        <s v="CD5105ZS04"/>
        <s v="CD5109ZS02"/>
        <s v="CD5111ZS02"/>
        <s v="CD5202ZS01"/>
        <s v="CD5305ZS02"/>
        <s v="CD5309ZS01"/>
        <s v="CD5402ZS01"/>
        <s v="CD5402ZS02"/>
        <s v="CD5402ZS03"/>
        <s v="CD5402ZS04"/>
        <s v="CD5402ZS05"/>
        <s v="CD5402ZS06"/>
        <s v="CD5403ZS01"/>
        <s v="CD5403ZS02"/>
        <s v="CD5403ZS03"/>
        <s v="CD5405ZS01"/>
        <s v="CD5405ZS03"/>
        <s v="CD5405ZS04"/>
        <s v="CD5405ZS05"/>
        <s v="CD5405ZS06"/>
        <s v="CD5405ZS07"/>
        <s v="CD5405ZS08"/>
        <s v="CD5405ZS09"/>
        <s v="CD5405ZS10"/>
        <s v="CD5405ZS11"/>
        <s v="CD5405ZS12"/>
        <s v="CD5405ZS13"/>
        <s v="CD5407ZS01"/>
        <s v="CD5407ZS02"/>
        <s v="CD5407ZS03"/>
        <s v="CD5407ZS04"/>
        <s v="CD5407ZS05"/>
        <s v="CD5407ZS06"/>
        <s v="CD5407ZS07"/>
        <s v="CD5409ZS04"/>
        <s v="CD5409ZS05"/>
        <s v="CD6101ZS01"/>
        <s v="CD6101ZS02"/>
        <s v="CD6102ZS01"/>
        <s v="CD6103ZS01"/>
        <s v="CD6103ZS02"/>
        <s v="CD6103ZS03"/>
        <s v="CD6103ZS04"/>
        <s v="CD6104ZS01"/>
        <s v="CD6104ZS02"/>
        <s v="CD6104ZS03"/>
        <s v="CD6104ZS04"/>
        <s v="CD6105ZS01"/>
        <s v="CD6105ZS02"/>
        <s v="CD6105ZS03"/>
        <s v="CD6105ZS04"/>
        <s v="CD6105ZS05"/>
        <s v="CD6105ZS06"/>
        <s v="CD6105ZS07"/>
        <s v="CD6107ZS01"/>
        <s v="CD6107ZS02"/>
        <s v="CD6107ZS03"/>
        <s v="CD6107ZS04"/>
        <s v="CD6107ZS05"/>
        <s v="CD6107ZS06"/>
        <s v="CD6107ZS07"/>
        <s v="CD6109ZS01"/>
        <s v="CD6110ZS01"/>
        <s v="CD6111ZS01"/>
        <s v="CD6111ZS02"/>
        <s v="CD6111ZS03"/>
        <s v="CD6111ZS04"/>
        <s v="CD6111ZS05"/>
        <s v="CD6111ZS06"/>
        <s v="CD6201ZS01"/>
        <s v="CD6201ZS02"/>
        <s v="CD6201ZS03"/>
        <s v="CD6202ZS01"/>
        <s v="CD6202ZS02"/>
        <s v="CD6202ZS03"/>
        <s v="CD6202ZS04"/>
        <s v="CD6202ZS05"/>
        <s v="CD6203ZS01"/>
        <s v="CD6203ZS02"/>
        <s v="CD6203ZS03"/>
        <s v="CD6203ZS04"/>
        <s v="CD6205ZS01"/>
        <s v="CD6205ZS02"/>
        <s v="CD6205ZS03"/>
        <s v="CD6205ZS04"/>
        <s v="CD6206ZS01"/>
        <s v="CD6207ZS01"/>
        <s v="CD6207ZS02"/>
        <s v="CD6207ZS03"/>
        <s v="CD6207ZS04"/>
        <s v="CD6208ZS01"/>
        <s v="CD6208ZS02"/>
        <s v="CD6208ZS03"/>
        <s v="CD6208ZS04"/>
        <s v="CD6210ZS01"/>
        <s v="CD6210ZS02"/>
        <s v="CD6210ZS03"/>
        <s v="CD6210ZS04"/>
        <s v="CD6212ZS01"/>
        <s v="CD6212ZS02"/>
        <s v="CD6212ZS03"/>
        <s v="CD6212ZS04"/>
        <s v="CD6212ZS05"/>
        <s v="CD6301ZS01"/>
        <s v="CD6301ZS02"/>
        <s v="CD6302ZS01"/>
        <s v="CD6303ZS01"/>
        <s v="CD6303ZS02"/>
        <s v="CD6305ZS01"/>
        <s v="CD6305ZS02"/>
        <s v="CD6307ZS02"/>
        <s v="CD6309ZS01"/>
        <s v="CD6309ZS02"/>
        <s v="CD6309ZS03"/>
        <s v="CD6311ZS01"/>
        <s v="CD6311ZS03"/>
        <s v="CD6313ZS01"/>
        <s v="CD7101ZS01"/>
        <s v="CD7101ZS02"/>
        <s v="CD7101ZS03"/>
        <s v="CD7101ZS04"/>
        <s v="CD7101ZS05"/>
        <s v="CD7101ZS07"/>
        <s v="CD7101ZS08"/>
        <s v="CD7101ZS09"/>
        <s v="CD7101ZS10"/>
        <s v="CD7101ZS11"/>
        <s v="CD7102ZS01"/>
        <s v="CD7102ZS02"/>
        <s v="CD7104ZS01"/>
        <s v="CD7105ZS02"/>
        <s v="CD7107ZS01"/>
        <s v="CD7107ZS02"/>
        <s v="CD7107ZS03"/>
        <s v="CD7108ZS01"/>
        <s v="CD7108ZS02"/>
        <s v="CD7109ZS01"/>
        <s v="CD7109ZS02"/>
        <s v="CD7202ZS02"/>
        <s v="CD7203ZS01"/>
        <s v="CD7203ZS02"/>
        <s v="CD7305ZS01"/>
        <s v="CD7305ZS02"/>
        <s v="CD7305ZS03"/>
        <s v="CD7305ZS04"/>
        <s v="CD7306ZS01"/>
        <s v="CD7306ZS02"/>
        <s v="CD7306ZS03"/>
        <s v="CD7306ZS04"/>
        <s v="CD7402ZS01"/>
        <s v="CD7402ZS02"/>
        <s v="CD7404ZS01"/>
        <s v="CD7404ZS02"/>
        <s v="CD7406ZS01"/>
        <s v="CD7406ZS02"/>
        <s v="CD7406ZS03"/>
        <s v="CD7407ZS01"/>
        <s v="CD7409ZS01"/>
        <s v="CD7409ZS02"/>
        <s v="CD7410ZS01"/>
        <s v="CD8201ZS09"/>
        <s v="CD8202ZS01"/>
        <s v="CD8208ZS01"/>
        <s v="CD8302ZS01"/>
        <s v="CD8302ZS03"/>
        <s v="CD9101ZS02"/>
        <s v="CD9101ZS06"/>
        <s v="CD9102ZS02"/>
        <s v="CD9107ZS03"/>
        <s v="CD9202ZS01"/>
        <s v="CD9202ZS02"/>
        <s v="CD9202ZS04"/>
        <s v="CD9202ZS07"/>
        <s v="CD9202ZS08"/>
        <s v="CD9204ZS01"/>
        <s v="CD9204ZS02"/>
        <s v="CD9205ZS01"/>
        <s v="CD9205ZS02"/>
        <s v="CD9207ZS02"/>
        <s v="CD9207ZS03"/>
        <m/>
      </sharedItems>
    </cacheField>
    <cacheField name="2025HNO scope" numFmtId="0">
      <sharedItems count="519">
        <s v="CD1000ZS01"/>
        <s v="CD1000ZS02"/>
        <s v="CD1000ZS03"/>
        <s v="CD1000ZS04"/>
        <s v="CD1000ZS05"/>
        <s v="CD1000ZS06"/>
        <s v="CD1000ZS07"/>
        <s v="CD1000ZS08"/>
        <s v="CD1000ZS09"/>
        <s v="CD1000ZS10"/>
        <s v="CD1000ZS11"/>
        <s v="CD1000ZS12"/>
        <s v="CD1000ZS13"/>
        <s v="CD1000ZS14"/>
        <s v="CD1000ZS15"/>
        <s v="CD1000ZS16"/>
        <s v="CD1000ZS17"/>
        <s v="CD1000ZS18"/>
        <s v="CD1000ZS19"/>
        <s v="CD1000ZS20"/>
        <s v="CD1000ZS21"/>
        <s v="CD1000ZS22"/>
        <s v="CD1000ZS23"/>
        <s v="CD1000ZS24"/>
        <s v="CD1000ZS25"/>
        <s v="CD1000ZS26"/>
        <s v="CD1000ZS27"/>
        <s v="CD1000ZS28"/>
        <s v="CD1000ZS29"/>
        <s v="CD1000ZS30"/>
        <s v="CD1000ZS31"/>
        <s v="CD1000ZS32"/>
        <s v="CD1000ZS33"/>
        <s v="CD1000ZS34"/>
        <s v="CD1000ZS35"/>
        <s v="CD2001ZS01"/>
        <s v="CD2001ZS02"/>
        <s v="CD2002ZS01"/>
        <s v="CD2003ZS01"/>
        <s v="CD2003ZS02"/>
        <s v="CD2003ZS03"/>
        <s v="CD2005ZS01"/>
        <s v="CD2005ZS02"/>
        <s v="CD2007ZS01"/>
        <s v="CD2007ZS02"/>
        <s v="CD2007ZS03"/>
        <s v="CD2007ZS04"/>
        <s v="CD2007ZS05"/>
        <s v="CD2009ZS01"/>
        <s v="CD2009ZS02"/>
        <s v="CD2010ZS01"/>
        <s v="CD2010ZS02"/>
        <s v="CD2010ZS03"/>
        <s v="CD2011ZS01"/>
        <s v="CD2011ZS02"/>
        <s v="CD2013ZS01"/>
        <s v="CD2013ZS02"/>
        <s v="CD2013ZS03"/>
        <s v="CD2013ZS04"/>
        <s v="CD2013ZS05"/>
        <s v="CD2015ZS01"/>
        <s v="CD2015ZS02"/>
        <s v="CD2017ZS01"/>
        <s v="CD2017ZS02"/>
        <s v="CD2017ZS03"/>
        <s v="CD2019ZS01"/>
        <s v="CD3102ZS01"/>
        <s v="CD3102ZS02"/>
        <s v="CD3102ZS03"/>
        <s v="CD3103ZS01"/>
        <s v="CD3103ZS02"/>
        <s v="CD3103ZS03"/>
        <s v="CD3105ZS01"/>
        <s v="CD3105ZS02"/>
        <s v="CD3106ZS01"/>
        <s v="CD3106ZS02"/>
        <s v="CD3106ZS03"/>
        <s v="CD3106ZS04"/>
        <s v="CD3106ZS05"/>
        <s v="CD3108ZS01"/>
        <s v="CD3201ZS01"/>
        <s v="CD3202ZS01"/>
        <s v="CD3202ZS02"/>
        <s v="CD3202ZS03"/>
        <s v="CD3203ZS01"/>
        <s v="CD3203ZS02"/>
        <s v="CD3204ZS01"/>
        <s v="CD3204ZS02"/>
        <s v="CD3204ZS03"/>
        <s v="CD3204ZS04"/>
        <s v="CD3204ZS05"/>
        <s v="CD3206ZS01"/>
        <s v="CD3206ZS02"/>
        <s v="CD3206ZS03"/>
        <s v="CD3206ZS04"/>
        <s v="CD3206ZS05"/>
        <s v="CD3206ZS06"/>
        <s v="CD3210ZS01"/>
        <s v="CD3210ZS02"/>
        <s v="CD3210ZS03"/>
        <s v="CD3212ZS01"/>
        <s v="CD3212ZS02"/>
        <s v="CD3212ZS03"/>
        <s v="CD3212ZS04"/>
        <s v="CD3302ZS01"/>
        <s v="CD3302ZS02"/>
        <s v="CD3302ZS03"/>
        <s v="CD3303ZS01"/>
        <s v="CD3303ZS02"/>
        <s v="CD3304ZS01"/>
        <s v="CD3304ZS02"/>
        <s v="CD3304ZS03"/>
        <s v="CD3306ZS01"/>
        <s v="CD3306ZS02"/>
        <s v="CD3307ZS01"/>
        <s v="CD3308ZS01"/>
        <s v="CD3310ZS01"/>
        <s v="CD3311ZS01"/>
        <s v="CD4101ZS01"/>
        <s v="CD4101ZS02"/>
        <s v="CD4101ZS03"/>
        <s v="CD4102ZS01"/>
        <s v="CD4102ZS02"/>
        <s v="CD4102ZS03"/>
        <s v="CD4103ZS01"/>
        <s v="CD4103ZS02"/>
        <s v="CD4104ZS01"/>
        <s v="CD4104ZS02"/>
        <s v="CD4105ZS01"/>
        <s v="CD4107ZS01"/>
        <s v="CD4107ZS02"/>
        <s v="CD4108ZS01"/>
        <s v="CD4108ZS02"/>
        <s v="CD4108ZS03"/>
        <s v="CD4109ZS01"/>
        <s v="CD4109ZS02"/>
        <s v="CD4202ZS01"/>
        <s v="CD4202ZS02"/>
        <s v="CD4202ZS03"/>
        <s v="CD4202ZS04"/>
        <s v="CD4202ZS05"/>
        <s v="CD4203ZS01"/>
        <s v="CD4203ZS02"/>
        <s v="CD4203ZS03"/>
        <s v="CD4203ZS04"/>
        <s v="CD4203ZS05"/>
        <s v="CD4204ZS01"/>
        <s v="CD4204ZS02"/>
        <s v="CD4204ZS03"/>
        <s v="CD4205ZS01"/>
        <s v="CD4205ZS02"/>
        <s v="CD4206ZS01"/>
        <s v="CD4301ZS01"/>
        <s v="CD4302ZS01"/>
        <s v="CD4304ZS01"/>
        <s v="CD4304ZS02"/>
        <s v="CD4304ZS03"/>
        <s v="CD4304ZS04"/>
        <s v="CD4305ZS01"/>
        <s v="CD4305ZS02"/>
        <s v="CD4305ZS03"/>
        <s v="CD4306ZS01"/>
        <s v="CD4306ZS02"/>
        <s v="CD4402ZS01"/>
        <s v="CD4402ZS02"/>
        <s v="CD4402ZS03"/>
        <s v="CD4404ZS01"/>
        <s v="CD4404ZS02"/>
        <s v="CD4404ZS03"/>
        <s v="CD4404ZS04"/>
        <s v="CD4404ZS05"/>
        <s v="CD4405ZS01"/>
        <s v="CD4405ZS02"/>
        <s v="CD4405ZS03"/>
        <s v="CD4405ZS04"/>
        <s v="CD4502ZS01"/>
        <s v="CD4502ZS02"/>
        <s v="CD4503ZS01"/>
        <s v="CD4503ZS02"/>
        <s v="CD4504ZS01"/>
        <s v="CD4504ZS02"/>
        <s v="CD4505ZS01"/>
        <s v="CD4505ZS02"/>
        <s v="CD4506ZS01"/>
        <s v="CD4506ZS02"/>
        <s v="CD4506ZS03"/>
        <s v="CD4507ZS01"/>
        <s v="CD5101ZS01"/>
        <s v="CD5101ZS02"/>
        <s v="CD5101ZS03"/>
        <s v="CD5101ZS04"/>
        <s v="CD5101ZS05"/>
        <s v="CD5102ZS01"/>
        <s v="CD5102ZS02"/>
        <s v="CD5102ZS03"/>
        <s v="CD5103ZS01"/>
        <s v="CD5103ZS02"/>
        <s v="CD5105ZS01"/>
        <s v="CD5105ZS02"/>
        <s v="CD5105ZS03"/>
        <s v="CD5105ZS04"/>
        <s v="CD5107ZS01"/>
        <s v="CD5109ZS01"/>
        <s v="CD5109ZS02"/>
        <s v="CD5109ZS03"/>
        <s v="CD5110ZS01"/>
        <s v="CD5110ZS02"/>
        <s v="CD5111ZS01"/>
        <s v="CD5111ZS02"/>
        <s v="CD5111ZS03"/>
        <s v="CD5202ZS01"/>
        <s v="CD5202ZS02"/>
        <s v="CD5204ZS01"/>
        <s v="CD5204ZS02"/>
        <s v="CD5206ZS01"/>
        <s v="CD5206ZS02"/>
        <s v="CD5206ZS03"/>
        <s v="CD5207ZS01"/>
        <s v="CD5208ZS01"/>
        <s v="CD5208ZS02"/>
        <s v="CD5209ZS01"/>
        <s v="CD5302ZS01"/>
        <s v="CD5302ZS02"/>
        <s v="CD5303ZS01"/>
        <s v="CD5305ZS01"/>
        <s v="CD5305ZS02"/>
        <s v="CD5307ZS01"/>
        <s v="CD5307ZS02"/>
        <s v="CD5307ZS03"/>
        <s v="CD5309ZS01"/>
        <s v="CD5309ZS02"/>
        <s v="CD5311ZS01"/>
        <s v="CD5311ZS02"/>
        <s v="CD5311ZS03"/>
        <s v="CD5402ZS01"/>
        <s v="CD5402ZS02"/>
        <s v="CD5402ZS03"/>
        <s v="CD5402ZS04"/>
        <s v="CD5402ZS05"/>
        <s v="CD5402ZS06"/>
        <s v="CD5403ZS01"/>
        <s v="CD5403ZS02"/>
        <s v="CD5403ZS03"/>
        <s v="CD5403ZS04"/>
        <s v="CD5405ZS01"/>
        <s v="CD5405ZS02"/>
        <s v="CD5405ZS03"/>
        <s v="CD5405ZS04"/>
        <s v="CD5405ZS05"/>
        <s v="CD5405ZS06"/>
        <s v="CD5405ZS07"/>
        <s v="CD5405ZS08"/>
        <s v="CD5405ZS09"/>
        <s v="CD5405ZS10"/>
        <s v="CD5405ZS11"/>
        <s v="CD5405ZS12"/>
        <s v="CD5405ZS13"/>
        <s v="CD5407ZS01"/>
        <s v="CD5407ZS02"/>
        <s v="CD5407ZS03"/>
        <s v="CD5407ZS04"/>
        <s v="CD5407ZS05"/>
        <s v="CD5407ZS06"/>
        <s v="CD5407ZS07"/>
        <s v="CD5409ZS01"/>
        <s v="CD5409ZS02"/>
        <s v="CD5409ZS03"/>
        <s v="CD5409ZS04"/>
        <s v="CD5409ZS05"/>
        <s v="CD5409ZS06"/>
        <s v="CD6101ZS01"/>
        <s v="CD6101ZS02"/>
        <s v="CD6102ZS01"/>
        <s v="CD6103ZS01"/>
        <s v="CD6103ZS02"/>
        <s v="CD6103ZS03"/>
        <s v="CD6103ZS04"/>
        <s v="CD6104ZS01"/>
        <s v="CD6104ZS02"/>
        <s v="CD6104ZS03"/>
        <s v="CD6104ZS04"/>
        <s v="CD6105ZS01"/>
        <s v="CD6105ZS02"/>
        <s v="CD6105ZS03"/>
        <s v="CD6105ZS04"/>
        <s v="CD6105ZS05"/>
        <s v="CD6105ZS06"/>
        <s v="CD6105ZS07"/>
        <s v="CD6107ZS01"/>
        <s v="CD6107ZS02"/>
        <s v="CD6107ZS03"/>
        <s v="CD6107ZS04"/>
        <s v="CD6107ZS05"/>
        <s v="CD6107ZS06"/>
        <s v="CD6107ZS07"/>
        <s v="CD6109ZS01"/>
        <s v="CD6110ZS01"/>
        <s v="CD6110ZS02"/>
        <s v="CD6111ZS01"/>
        <s v="CD6111ZS02"/>
        <s v="CD6111ZS03"/>
        <s v="CD6111ZS04"/>
        <s v="CD6111ZS05"/>
        <s v="CD6111ZS06"/>
        <s v="CD6201ZS01"/>
        <s v="CD6201ZS02"/>
        <s v="CD6201ZS03"/>
        <s v="CD6202ZS01"/>
        <s v="CD6202ZS02"/>
        <s v="CD6202ZS03"/>
        <s v="CD6202ZS04"/>
        <s v="CD6202ZS05"/>
        <s v="CD6203ZS01"/>
        <s v="CD6203ZS02"/>
        <s v="CD6203ZS03"/>
        <s v="CD6203ZS04"/>
        <s v="CD6205ZS01"/>
        <s v="CD6205ZS02"/>
        <s v="CD6205ZS03"/>
        <s v="CD6205ZS04"/>
        <s v="CD6206ZS01"/>
        <s v="CD6207ZS01"/>
        <s v="CD6207ZS02"/>
        <s v="CD6207ZS03"/>
        <s v="CD6207ZS04"/>
        <s v="CD6208ZS01"/>
        <s v="CD6208ZS02"/>
        <s v="CD6208ZS03"/>
        <s v="CD6208ZS04"/>
        <s v="CD6210ZS01"/>
        <s v="CD6210ZS02"/>
        <s v="CD6210ZS03"/>
        <s v="CD6210ZS04"/>
        <s v="CD6212ZS01"/>
        <s v="CD6212ZS02"/>
        <s v="CD6212ZS03"/>
        <s v="CD6212ZS04"/>
        <s v="CD6212ZS05"/>
        <s v="CD6301ZS01"/>
        <s v="CD6301ZS02"/>
        <s v="CD6302ZS01"/>
        <s v="CD6303ZS01"/>
        <s v="CD6303ZS02"/>
        <s v="CD6305ZS01"/>
        <s v="CD6305ZS02"/>
        <s v="CD6307ZS01"/>
        <s v="CD6307ZS02"/>
        <s v="CD6307ZS03"/>
        <s v="CD6309ZS01"/>
        <s v="CD6309ZS02"/>
        <s v="CD6309ZS03"/>
        <s v="CD6311ZS01"/>
        <s v="CD6311ZS02"/>
        <s v="CD6311ZS03"/>
        <s v="CD6313ZS01"/>
        <s v="CD6313ZS02"/>
        <s v="CD7101ZS01"/>
        <s v="CD7101ZS02"/>
        <s v="CD7101ZS03"/>
        <s v="CD7101ZS04"/>
        <s v="CD7101ZS05"/>
        <s v="CD7101ZS06"/>
        <s v="CD7101ZS07"/>
        <s v="CD7101ZS08"/>
        <s v="CD7101ZS09"/>
        <s v="CD7101ZS10"/>
        <s v="CD7101ZS11"/>
        <s v="CD7102ZS01"/>
        <s v="CD7102ZS02"/>
        <s v="CD7104ZS01"/>
        <s v="CD7105ZS01"/>
        <s v="CD7105ZS02"/>
        <s v="CD7105ZS03"/>
        <s v="CD7105ZS04"/>
        <s v="CD7105ZS05"/>
        <s v="CD7106ZS01"/>
        <s v="CD7107ZS01"/>
        <s v="CD7107ZS02"/>
        <s v="CD7107ZS03"/>
        <s v="CD7107ZS04"/>
        <s v="CD7108ZS01"/>
        <s v="CD7108ZS02"/>
        <s v="CD7109ZS01"/>
        <s v="CD7109ZS02"/>
        <s v="CD7202ZS01"/>
        <s v="CD7202ZS02"/>
        <s v="CD7202ZS03"/>
        <s v="CD7203ZS01"/>
        <s v="CD7203ZS02"/>
        <s v="CD7203ZS03"/>
        <s v="CD7203ZS04"/>
        <s v="CD7205ZS01"/>
        <s v="CD7205ZS02"/>
        <s v="CD7206ZS01"/>
        <s v="CD7206ZS02"/>
        <s v="CD7207ZS01"/>
        <s v="CD7207ZS02"/>
        <s v="CD7302ZS01"/>
        <s v="CD7302ZS02"/>
        <s v="CD7302ZS03"/>
        <s v="CD7302ZS04"/>
        <s v="CD7303ZS01"/>
        <s v="CD7304ZS01"/>
        <s v="CD7304ZS02"/>
        <s v="CD7304ZS03"/>
        <s v="CD7305ZS01"/>
        <s v="CD7305ZS02"/>
        <s v="CD7305ZS03"/>
        <s v="CD7305ZS04"/>
        <s v="CD7306ZS01"/>
        <s v="CD7306ZS02"/>
        <s v="CD7306ZS03"/>
        <s v="CD7306ZS04"/>
        <s v="CD7402ZS01"/>
        <s v="CD7402ZS02"/>
        <s v="CD7404ZS01"/>
        <s v="CD7404ZS02"/>
        <s v="CD7406ZS01"/>
        <s v="CD7406ZS02"/>
        <s v="CD7406ZS03"/>
        <s v="CD7407ZS01"/>
        <s v="CD7409ZS01"/>
        <s v="CD7409ZS02"/>
        <s v="CD7410ZS01"/>
        <s v="CD8102ZS01"/>
        <s v="CD8102ZS02"/>
        <s v="CD8102ZS03"/>
        <s v="CD8103ZS01"/>
        <s v="CD8103ZS02"/>
        <s v="CD8104ZS01"/>
        <s v="CD8104ZS02"/>
        <s v="CD8104ZS03"/>
        <s v="CD8104ZS04"/>
        <s v="CD8105ZS01"/>
        <s v="CD8106ZS01"/>
        <s v="CD8106ZS02"/>
        <s v="CD8106ZS03"/>
        <s v="CD8108ZS01"/>
        <s v="CD8108ZS02"/>
        <s v="CD8108ZS03"/>
        <s v="CD8201ZS01"/>
        <s v="CD8201ZS02"/>
        <s v="CD8201ZS03"/>
        <s v="CD8201ZS04"/>
        <s v="CD8201ZS05"/>
        <s v="CD8201ZS06"/>
        <s v="CD8201ZS07"/>
        <s v="CD8201ZS08"/>
        <s v="CD8201ZS09"/>
        <s v="CD8201ZS10"/>
        <s v="CD8202ZS01"/>
        <s v="CD8202ZS02"/>
        <s v="CD8205ZS01"/>
        <s v="CD8205ZS02"/>
        <s v="CD8207ZS01"/>
        <s v="CD8208ZS01"/>
        <s v="CD8208ZS02"/>
        <s v="CD8209ZS01"/>
        <s v="CD8209ZS02"/>
        <s v="CD8302ZS01"/>
        <s v="CD8302ZS02"/>
        <s v="CD8302ZS03"/>
        <s v="CD8303ZS01"/>
        <s v="CD8303ZS02"/>
        <s v="CD8303ZS03"/>
        <s v="CD8306ZS01"/>
        <s v="CD8306ZS02"/>
        <s v="CD8307ZS01"/>
        <s v="CD8307ZS02"/>
        <s v="CD8308ZS01"/>
        <s v="CD8308ZS02"/>
        <s v="CD8308ZS03"/>
        <s v="CD8309ZS01"/>
        <s v="CD8309ZS02"/>
        <s v="CD8309ZS03"/>
        <s v="CD9101ZS01"/>
        <s v="CD9101ZS02"/>
        <s v="CD9101ZS03"/>
        <s v="CD9101ZS04"/>
        <s v="CD9101ZS05"/>
        <s v="CD9101ZS06"/>
        <s v="CD9102ZS01"/>
        <s v="CD9102ZS02"/>
        <s v="CD9102ZS03"/>
        <s v="CD9102ZS04"/>
        <s v="CD9104ZS01"/>
        <s v="CD9104ZS02"/>
        <s v="CD9104ZS03"/>
        <s v="CD9104ZS04"/>
        <s v="CD9105ZS01"/>
        <s v="CD9105ZS02"/>
        <s v="CD9105ZS03"/>
        <s v="CD9105ZS04"/>
        <s v="CD9105ZS05"/>
        <s v="CD9106ZS01"/>
        <s v="CD9106ZS02"/>
        <s v="CD9106ZS03"/>
        <s v="CD9107ZS01"/>
        <s v="CD9107ZS02"/>
        <s v="CD9107ZS03"/>
        <s v="CD9107ZS04"/>
        <s v="CD9202ZS01"/>
        <s v="CD9202ZS02"/>
        <s v="CD9202ZS03"/>
        <s v="CD9202ZS04"/>
        <s v="CD9202ZS05"/>
        <s v="CD9202ZS06"/>
        <s v="CD9202ZS07"/>
        <s v="CD9202ZS08"/>
        <s v="CD9204ZS01"/>
        <s v="CD9204ZS02"/>
        <s v="CD9205ZS01"/>
        <s v="CD9205ZS02"/>
        <s v="CD9205ZS03"/>
        <s v="CD9207ZS01"/>
        <s v="CD9207ZS02"/>
        <s v="CD9207ZS03"/>
        <s v="CD9207ZS04"/>
        <s v="CD9208ZS01"/>
      </sharedItems>
    </cacheField>
    <cacheField name="MSNA 2024" numFmtId="0">
      <sharedItems containsBlank="1" count="58">
        <s v="CD000ZS00"/>
        <s v="CD5402ZS02"/>
        <s v="CD5402ZS03"/>
        <s v="CD5402ZS04"/>
        <s v="CD5402ZS06"/>
        <s v="CD5403ZS02"/>
        <s v="CD5403ZS03"/>
        <s v="CD5403ZS04"/>
        <s v="CD5405ZS03"/>
        <s v="CD5405ZS04"/>
        <s v="CD5405ZS05"/>
        <s v="CD5405ZS07"/>
        <s v="CD5405ZS08"/>
        <s v="CD5405ZS09"/>
        <s v="CD5405ZS11"/>
        <s v="CD5405ZS12"/>
        <s v="CD5405ZS13"/>
        <s v="CD5407ZS01"/>
        <s v="CD5407ZS02"/>
        <s v="CD5407ZS03"/>
        <s v="CD5407ZS04"/>
        <s v="CD5407ZS05"/>
        <s v="CD5407ZS06"/>
        <s v="CD5409ZS04"/>
        <s v="CD6101ZS01"/>
        <s v="CD6101ZS02"/>
        <s v="CD6104ZS01"/>
        <s v="CD6104ZS04"/>
        <s v="CD6107ZS02"/>
        <s v="CD6107ZS05"/>
        <s v="CD6107ZS06"/>
        <s v="CD6201ZS01"/>
        <s v="CD6201ZS02"/>
        <s v="CD6201ZS03"/>
        <s v="CD6202ZS01"/>
        <s v="CD6202ZS03"/>
        <s v="CD6202ZS04"/>
        <s v="CD6202ZS05"/>
        <s v="CD6205ZS01"/>
        <s v="CD6205ZS02"/>
        <s v="CD6205ZS03"/>
        <s v="CD6205ZS04"/>
        <s v="CD6207ZS01"/>
        <s v="CD6207ZS02"/>
        <s v="CD6207ZS03"/>
        <s v="CD6207ZS04"/>
        <s v="CD6208ZS02"/>
        <s v="CD6208ZS03"/>
        <s v="CD6208ZS04"/>
        <s v="CD6210ZS01"/>
        <s v="CD6210ZS02"/>
        <s v="CD6210ZS04"/>
        <s v="CD6212ZS01"/>
        <s v="CD6212ZS02"/>
        <s v="CD6212ZS03"/>
        <s v="CD6212ZS04"/>
        <s v="CD6212ZS05"/>
        <m/>
      </sharedItems>
    </cacheField>
    <cacheField name="adminMSNA2025" numFmtId="0">
      <sharedItems containsBlank="1" count="73">
        <s v="CD5402ZS01"/>
        <s v="CD5402ZS02"/>
        <s v="CD5402ZS03"/>
        <s v="CD5402ZS04"/>
        <s v="CD5402ZS05"/>
        <s v="CD5402ZS06"/>
        <s v="CD5403ZS01"/>
        <s v="CD5403ZS02"/>
        <s v="CD5403ZS03"/>
        <s v="CD5403ZS04"/>
        <s v="CD5405ZS01"/>
        <s v="CD5405ZS03"/>
        <s v="CD5405ZS04"/>
        <s v="CD5405ZS05"/>
        <s v="CD5405ZS07"/>
        <s v="CD5405ZS08"/>
        <s v="CD5405ZS10"/>
        <s v="CD5405ZS11"/>
        <s v="CD5405ZS12"/>
        <s v="CD5405ZS13"/>
        <s v="CD5407ZS01"/>
        <s v="CD5407ZS02"/>
        <s v="CD5407ZS03"/>
        <s v="CD5407ZS04"/>
        <s v="CD5407ZS05"/>
        <s v="CD5407ZS06"/>
        <s v="CD5407ZS07"/>
        <s v="CD6101ZS01"/>
        <s v="CD6101ZS02"/>
        <s v="CD6102ZS01"/>
        <s v="CD6103ZS02"/>
        <s v="CD6103ZS04"/>
        <s v="CD6104ZS01"/>
        <s v="CD6104ZS04"/>
        <s v="CD6105ZS01"/>
        <s v="CD6105ZS03"/>
        <s v="CD6105ZS04"/>
        <s v="CD6105ZS06"/>
        <s v="CD6105ZS07"/>
        <s v="CD6107ZS01"/>
        <s v="CD6107ZS03"/>
        <s v="CD6107ZS05"/>
        <s v="CD6107ZS06"/>
        <s v="CD6107ZS07"/>
        <s v="CD6109ZS01"/>
        <s v="CD6110ZS01"/>
        <s v="CD6110ZS02"/>
        <s v="CD6111ZS02"/>
        <s v="CD6111ZS03"/>
        <s v="CD6111ZS05"/>
        <s v="CD6111ZS06"/>
        <s v="CD6201ZS01"/>
        <s v="CD6201ZS02"/>
        <s v="CD6201ZS03"/>
        <s v="CD6202ZS01"/>
        <s v="CD6202ZS03"/>
        <s v="CD6202ZS04"/>
        <s v="CD6202ZS05"/>
        <s v="CD6203ZS01"/>
        <s v="CD6203ZS04"/>
        <s v="CD6205ZS02"/>
        <s v="CD6205ZS04"/>
        <s v="CD6206ZS01"/>
        <s v="CD6207ZS03"/>
        <s v="CD6207ZS04"/>
        <s v="CD6208ZS04"/>
        <s v="CD6210ZS01"/>
        <s v="CD6210ZS02"/>
        <s v="CD6210ZS04"/>
        <s v="CD6212ZS02"/>
        <s v="CD6212ZS03"/>
        <s v="CD6212ZS0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9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6"/>
  </r>
  <r>
    <x v="7"/>
    <x v="7"/>
    <x v="7"/>
    <x v="7"/>
  </r>
  <r>
    <x v="8"/>
    <x v="8"/>
    <x v="8"/>
    <x v="8"/>
  </r>
  <r>
    <x v="9"/>
    <x v="9"/>
    <x v="9"/>
    <x v="9"/>
  </r>
  <r>
    <x v="10"/>
    <x v="10"/>
    <x v="10"/>
    <x v="10"/>
  </r>
  <r>
    <x v="11"/>
    <x v="11"/>
    <x v="11"/>
    <x v="11"/>
  </r>
  <r>
    <x v="12"/>
    <x v="12"/>
    <x v="12"/>
    <x v="12"/>
  </r>
  <r>
    <x v="13"/>
    <x v="13"/>
    <x v="13"/>
    <x v="13"/>
  </r>
  <r>
    <x v="14"/>
    <x v="14"/>
    <x v="14"/>
    <x v="14"/>
  </r>
  <r>
    <x v="15"/>
    <x v="15"/>
    <x v="15"/>
    <x v="15"/>
  </r>
  <r>
    <x v="16"/>
    <x v="16"/>
    <x v="16"/>
    <x v="16"/>
  </r>
  <r>
    <x v="17"/>
    <x v="17"/>
    <x v="17"/>
    <x v="17"/>
  </r>
  <r>
    <x v="18"/>
    <x v="18"/>
    <x v="18"/>
    <x v="18"/>
  </r>
  <r>
    <x v="19"/>
    <x v="19"/>
    <x v="19"/>
    <x v="19"/>
  </r>
  <r>
    <x v="20"/>
    <x v="20"/>
    <x v="20"/>
    <x v="20"/>
  </r>
  <r>
    <x v="21"/>
    <x v="21"/>
    <x v="21"/>
    <x v="21"/>
  </r>
  <r>
    <x v="22"/>
    <x v="22"/>
    <x v="22"/>
    <x v="22"/>
  </r>
  <r>
    <x v="23"/>
    <x v="23"/>
    <x v="23"/>
    <x v="23"/>
  </r>
  <r>
    <x v="24"/>
    <x v="24"/>
    <x v="24"/>
    <x v="24"/>
  </r>
  <r>
    <x v="25"/>
    <x v="25"/>
    <x v="25"/>
    <x v="25"/>
  </r>
  <r>
    <x v="26"/>
    <x v="26"/>
    <x v="26"/>
    <x v="26"/>
  </r>
  <r>
    <x v="27"/>
    <x v="27"/>
    <x v="27"/>
    <x v="27"/>
  </r>
  <r>
    <x v="28"/>
    <x v="28"/>
    <x v="28"/>
    <x v="28"/>
  </r>
  <r>
    <x v="29"/>
    <x v="29"/>
    <x v="29"/>
    <x v="29"/>
  </r>
  <r>
    <x v="30"/>
    <x v="30"/>
    <x v="30"/>
    <x v="30"/>
  </r>
  <r>
    <x v="31"/>
    <x v="31"/>
    <x v="31"/>
    <x v="31"/>
  </r>
  <r>
    <x v="32"/>
    <x v="32"/>
    <x v="32"/>
    <x v="32"/>
  </r>
  <r>
    <x v="33"/>
    <x v="33"/>
    <x v="33"/>
    <x v="33"/>
  </r>
  <r>
    <x v="34"/>
    <x v="34"/>
    <x v="34"/>
    <x v="34"/>
  </r>
  <r>
    <x v="35"/>
    <x v="35"/>
    <x v="35"/>
    <x v="35"/>
  </r>
  <r>
    <x v="36"/>
    <x v="36"/>
    <x v="36"/>
    <x v="36"/>
  </r>
  <r>
    <x v="37"/>
    <x v="37"/>
    <x v="37"/>
    <x v="37"/>
  </r>
  <r>
    <x v="38"/>
    <x v="38"/>
    <x v="38"/>
    <x v="38"/>
  </r>
  <r>
    <x v="39"/>
    <x v="39"/>
    <x v="39"/>
    <x v="39"/>
  </r>
  <r>
    <x v="40"/>
    <x v="40"/>
    <x v="40"/>
    <x v="40"/>
  </r>
  <r>
    <x v="41"/>
    <x v="41"/>
    <x v="41"/>
    <x v="41"/>
  </r>
  <r>
    <x v="42"/>
    <x v="42"/>
    <x v="42"/>
    <x v="42"/>
  </r>
  <r>
    <x v="43"/>
    <x v="43"/>
    <x v="43"/>
    <x v="43"/>
  </r>
  <r>
    <x v="44"/>
    <x v="44"/>
    <x v="44"/>
    <x v="44"/>
  </r>
  <r>
    <x v="45"/>
    <x v="45"/>
    <x v="45"/>
    <x v="45"/>
  </r>
  <r>
    <x v="46"/>
    <x v="46"/>
    <x v="46"/>
    <x v="46"/>
  </r>
  <r>
    <x v="47"/>
    <x v="47"/>
    <x v="47"/>
    <x v="47"/>
  </r>
  <r>
    <x v="48"/>
    <x v="48"/>
    <x v="48"/>
    <x v="48"/>
  </r>
  <r>
    <x v="49"/>
    <x v="49"/>
    <x v="49"/>
    <x v="49"/>
  </r>
  <r>
    <x v="50"/>
    <x v="50"/>
    <x v="50"/>
    <x v="50"/>
  </r>
  <r>
    <x v="51"/>
    <x v="51"/>
    <x v="51"/>
    <x v="51"/>
  </r>
  <r>
    <x v="52"/>
    <x v="52"/>
    <x v="52"/>
    <x v="52"/>
  </r>
  <r>
    <x v="53"/>
    <x v="53"/>
    <x v="53"/>
    <x v="53"/>
  </r>
  <r>
    <x v="54"/>
    <x v="54"/>
    <x v="54"/>
    <x v="54"/>
  </r>
  <r>
    <x v="55"/>
    <x v="55"/>
    <x v="55"/>
    <x v="55"/>
  </r>
  <r>
    <x v="56"/>
    <x v="56"/>
    <x v="56"/>
    <x v="56"/>
  </r>
  <r>
    <x v="57"/>
    <x v="57"/>
    <x v="57"/>
    <x v="57"/>
  </r>
  <r>
    <x v="58"/>
    <x v="58"/>
    <x v="57"/>
    <x v="58"/>
  </r>
  <r>
    <x v="59"/>
    <x v="59"/>
    <x v="57"/>
    <x v="59"/>
  </r>
  <r>
    <x v="60"/>
    <x v="60"/>
    <x v="57"/>
    <x v="60"/>
  </r>
  <r>
    <x v="61"/>
    <x v="61"/>
    <x v="57"/>
    <x v="61"/>
  </r>
  <r>
    <x v="62"/>
    <x v="62"/>
    <x v="57"/>
    <x v="62"/>
  </r>
  <r>
    <x v="63"/>
    <x v="63"/>
    <x v="57"/>
    <x v="63"/>
  </r>
  <r>
    <x v="64"/>
    <x v="64"/>
    <x v="57"/>
    <x v="64"/>
  </r>
  <r>
    <x v="65"/>
    <x v="65"/>
    <x v="57"/>
    <x v="65"/>
  </r>
  <r>
    <x v="66"/>
    <x v="66"/>
    <x v="57"/>
    <x v="66"/>
  </r>
  <r>
    <x v="67"/>
    <x v="67"/>
    <x v="57"/>
    <x v="67"/>
  </r>
  <r>
    <x v="68"/>
    <x v="68"/>
    <x v="57"/>
    <x v="68"/>
  </r>
  <r>
    <x v="69"/>
    <x v="69"/>
    <x v="57"/>
    <x v="69"/>
  </r>
  <r>
    <x v="70"/>
    <x v="70"/>
    <x v="57"/>
    <x v="70"/>
  </r>
  <r>
    <x v="71"/>
    <x v="71"/>
    <x v="57"/>
    <x v="71"/>
  </r>
  <r>
    <x v="72"/>
    <x v="72"/>
    <x v="57"/>
    <x v="72"/>
  </r>
  <r>
    <x v="73"/>
    <x v="73"/>
    <x v="57"/>
    <x v="72"/>
  </r>
  <r>
    <x v="74"/>
    <x v="74"/>
    <x v="57"/>
    <x v="72"/>
  </r>
  <r>
    <x v="75"/>
    <x v="75"/>
    <x v="57"/>
    <x v="72"/>
  </r>
  <r>
    <x v="76"/>
    <x v="76"/>
    <x v="57"/>
    <x v="72"/>
  </r>
  <r>
    <x v="77"/>
    <x v="77"/>
    <x v="57"/>
    <x v="72"/>
  </r>
  <r>
    <x v="78"/>
    <x v="78"/>
    <x v="57"/>
    <x v="72"/>
  </r>
  <r>
    <x v="79"/>
    <x v="79"/>
    <x v="57"/>
    <x v="72"/>
  </r>
  <r>
    <x v="80"/>
    <x v="80"/>
    <x v="57"/>
    <x v="72"/>
  </r>
  <r>
    <x v="81"/>
    <x v="81"/>
    <x v="57"/>
    <x v="72"/>
  </r>
  <r>
    <x v="82"/>
    <x v="82"/>
    <x v="57"/>
    <x v="72"/>
  </r>
  <r>
    <x v="83"/>
    <x v="83"/>
    <x v="57"/>
    <x v="72"/>
  </r>
  <r>
    <x v="84"/>
    <x v="84"/>
    <x v="57"/>
    <x v="72"/>
  </r>
  <r>
    <x v="85"/>
    <x v="85"/>
    <x v="57"/>
    <x v="72"/>
  </r>
  <r>
    <x v="86"/>
    <x v="86"/>
    <x v="57"/>
    <x v="72"/>
  </r>
  <r>
    <x v="87"/>
    <x v="87"/>
    <x v="57"/>
    <x v="72"/>
  </r>
  <r>
    <x v="88"/>
    <x v="88"/>
    <x v="57"/>
    <x v="72"/>
  </r>
  <r>
    <x v="89"/>
    <x v="89"/>
    <x v="57"/>
    <x v="72"/>
  </r>
  <r>
    <x v="90"/>
    <x v="90"/>
    <x v="57"/>
    <x v="72"/>
  </r>
  <r>
    <x v="91"/>
    <x v="91"/>
    <x v="57"/>
    <x v="72"/>
  </r>
  <r>
    <x v="92"/>
    <x v="92"/>
    <x v="57"/>
    <x v="72"/>
  </r>
  <r>
    <x v="93"/>
    <x v="93"/>
    <x v="57"/>
    <x v="72"/>
  </r>
  <r>
    <x v="94"/>
    <x v="94"/>
    <x v="57"/>
    <x v="72"/>
  </r>
  <r>
    <x v="95"/>
    <x v="95"/>
    <x v="57"/>
    <x v="72"/>
  </r>
  <r>
    <x v="96"/>
    <x v="96"/>
    <x v="57"/>
    <x v="72"/>
  </r>
  <r>
    <x v="97"/>
    <x v="97"/>
    <x v="57"/>
    <x v="72"/>
  </r>
  <r>
    <x v="98"/>
    <x v="98"/>
    <x v="57"/>
    <x v="72"/>
  </r>
  <r>
    <x v="99"/>
    <x v="99"/>
    <x v="57"/>
    <x v="72"/>
  </r>
  <r>
    <x v="100"/>
    <x v="100"/>
    <x v="57"/>
    <x v="72"/>
  </r>
  <r>
    <x v="101"/>
    <x v="101"/>
    <x v="57"/>
    <x v="72"/>
  </r>
  <r>
    <x v="102"/>
    <x v="102"/>
    <x v="57"/>
    <x v="72"/>
  </r>
  <r>
    <x v="103"/>
    <x v="103"/>
    <x v="57"/>
    <x v="72"/>
  </r>
  <r>
    <x v="104"/>
    <x v="104"/>
    <x v="57"/>
    <x v="72"/>
  </r>
  <r>
    <x v="105"/>
    <x v="105"/>
    <x v="57"/>
    <x v="72"/>
  </r>
  <r>
    <x v="106"/>
    <x v="106"/>
    <x v="57"/>
    <x v="72"/>
  </r>
  <r>
    <x v="107"/>
    <x v="107"/>
    <x v="57"/>
    <x v="72"/>
  </r>
  <r>
    <x v="108"/>
    <x v="108"/>
    <x v="57"/>
    <x v="72"/>
  </r>
  <r>
    <x v="109"/>
    <x v="109"/>
    <x v="57"/>
    <x v="72"/>
  </r>
  <r>
    <x v="110"/>
    <x v="110"/>
    <x v="57"/>
    <x v="72"/>
  </r>
  <r>
    <x v="111"/>
    <x v="111"/>
    <x v="57"/>
    <x v="72"/>
  </r>
  <r>
    <x v="112"/>
    <x v="112"/>
    <x v="57"/>
    <x v="72"/>
  </r>
  <r>
    <x v="113"/>
    <x v="113"/>
    <x v="57"/>
    <x v="72"/>
  </r>
  <r>
    <x v="114"/>
    <x v="114"/>
    <x v="57"/>
    <x v="72"/>
  </r>
  <r>
    <x v="115"/>
    <x v="115"/>
    <x v="57"/>
    <x v="72"/>
  </r>
  <r>
    <x v="116"/>
    <x v="116"/>
    <x v="57"/>
    <x v="72"/>
  </r>
  <r>
    <x v="117"/>
    <x v="117"/>
    <x v="57"/>
    <x v="72"/>
  </r>
  <r>
    <x v="118"/>
    <x v="118"/>
    <x v="57"/>
    <x v="72"/>
  </r>
  <r>
    <x v="119"/>
    <x v="119"/>
    <x v="57"/>
    <x v="72"/>
  </r>
  <r>
    <x v="120"/>
    <x v="120"/>
    <x v="57"/>
    <x v="72"/>
  </r>
  <r>
    <x v="121"/>
    <x v="121"/>
    <x v="57"/>
    <x v="72"/>
  </r>
  <r>
    <x v="122"/>
    <x v="122"/>
    <x v="57"/>
    <x v="72"/>
  </r>
  <r>
    <x v="123"/>
    <x v="123"/>
    <x v="57"/>
    <x v="72"/>
  </r>
  <r>
    <x v="124"/>
    <x v="124"/>
    <x v="57"/>
    <x v="72"/>
  </r>
  <r>
    <x v="125"/>
    <x v="125"/>
    <x v="57"/>
    <x v="72"/>
  </r>
  <r>
    <x v="126"/>
    <x v="126"/>
    <x v="57"/>
    <x v="72"/>
  </r>
  <r>
    <x v="127"/>
    <x v="127"/>
    <x v="57"/>
    <x v="72"/>
  </r>
  <r>
    <x v="128"/>
    <x v="128"/>
    <x v="57"/>
    <x v="72"/>
  </r>
  <r>
    <x v="129"/>
    <x v="129"/>
    <x v="57"/>
    <x v="72"/>
  </r>
  <r>
    <x v="130"/>
    <x v="130"/>
    <x v="57"/>
    <x v="72"/>
  </r>
  <r>
    <x v="131"/>
    <x v="131"/>
    <x v="57"/>
    <x v="72"/>
  </r>
  <r>
    <x v="132"/>
    <x v="132"/>
    <x v="57"/>
    <x v="72"/>
  </r>
  <r>
    <x v="133"/>
    <x v="133"/>
    <x v="57"/>
    <x v="72"/>
  </r>
  <r>
    <x v="134"/>
    <x v="134"/>
    <x v="57"/>
    <x v="72"/>
  </r>
  <r>
    <x v="135"/>
    <x v="135"/>
    <x v="57"/>
    <x v="72"/>
  </r>
  <r>
    <x v="136"/>
    <x v="136"/>
    <x v="57"/>
    <x v="72"/>
  </r>
  <r>
    <x v="137"/>
    <x v="137"/>
    <x v="57"/>
    <x v="72"/>
  </r>
  <r>
    <x v="138"/>
    <x v="138"/>
    <x v="57"/>
    <x v="72"/>
  </r>
  <r>
    <x v="139"/>
    <x v="139"/>
    <x v="57"/>
    <x v="72"/>
  </r>
  <r>
    <x v="140"/>
    <x v="140"/>
    <x v="57"/>
    <x v="72"/>
  </r>
  <r>
    <x v="141"/>
    <x v="141"/>
    <x v="57"/>
    <x v="72"/>
  </r>
  <r>
    <x v="142"/>
    <x v="142"/>
    <x v="57"/>
    <x v="72"/>
  </r>
  <r>
    <x v="143"/>
    <x v="143"/>
    <x v="57"/>
    <x v="72"/>
  </r>
  <r>
    <x v="144"/>
    <x v="144"/>
    <x v="57"/>
    <x v="72"/>
  </r>
  <r>
    <x v="145"/>
    <x v="145"/>
    <x v="57"/>
    <x v="72"/>
  </r>
  <r>
    <x v="146"/>
    <x v="146"/>
    <x v="57"/>
    <x v="72"/>
  </r>
  <r>
    <x v="147"/>
    <x v="147"/>
    <x v="57"/>
    <x v="72"/>
  </r>
  <r>
    <x v="148"/>
    <x v="148"/>
    <x v="57"/>
    <x v="72"/>
  </r>
  <r>
    <x v="149"/>
    <x v="149"/>
    <x v="57"/>
    <x v="72"/>
  </r>
  <r>
    <x v="150"/>
    <x v="150"/>
    <x v="57"/>
    <x v="72"/>
  </r>
  <r>
    <x v="151"/>
    <x v="151"/>
    <x v="57"/>
    <x v="72"/>
  </r>
  <r>
    <x v="152"/>
    <x v="152"/>
    <x v="57"/>
    <x v="72"/>
  </r>
  <r>
    <x v="153"/>
    <x v="153"/>
    <x v="57"/>
    <x v="72"/>
  </r>
  <r>
    <x v="154"/>
    <x v="154"/>
    <x v="57"/>
    <x v="72"/>
  </r>
  <r>
    <x v="155"/>
    <x v="155"/>
    <x v="57"/>
    <x v="72"/>
  </r>
  <r>
    <x v="156"/>
    <x v="156"/>
    <x v="57"/>
    <x v="72"/>
  </r>
  <r>
    <x v="157"/>
    <x v="157"/>
    <x v="57"/>
    <x v="72"/>
  </r>
  <r>
    <x v="158"/>
    <x v="158"/>
    <x v="57"/>
    <x v="72"/>
  </r>
  <r>
    <x v="159"/>
    <x v="159"/>
    <x v="57"/>
    <x v="72"/>
  </r>
  <r>
    <x v="160"/>
    <x v="160"/>
    <x v="57"/>
    <x v="72"/>
  </r>
  <r>
    <x v="161"/>
    <x v="161"/>
    <x v="57"/>
    <x v="72"/>
  </r>
  <r>
    <x v="162"/>
    <x v="162"/>
    <x v="57"/>
    <x v="72"/>
  </r>
  <r>
    <x v="163"/>
    <x v="163"/>
    <x v="57"/>
    <x v="72"/>
  </r>
  <r>
    <x v="164"/>
    <x v="164"/>
    <x v="57"/>
    <x v="72"/>
  </r>
  <r>
    <x v="165"/>
    <x v="165"/>
    <x v="57"/>
    <x v="72"/>
  </r>
  <r>
    <x v="166"/>
    <x v="166"/>
    <x v="57"/>
    <x v="72"/>
  </r>
  <r>
    <x v="167"/>
    <x v="167"/>
    <x v="57"/>
    <x v="72"/>
  </r>
  <r>
    <x v="168"/>
    <x v="168"/>
    <x v="57"/>
    <x v="72"/>
  </r>
  <r>
    <x v="169"/>
    <x v="169"/>
    <x v="57"/>
    <x v="72"/>
  </r>
  <r>
    <x v="170"/>
    <x v="170"/>
    <x v="57"/>
    <x v="72"/>
  </r>
  <r>
    <x v="171"/>
    <x v="171"/>
    <x v="57"/>
    <x v="72"/>
  </r>
  <r>
    <x v="172"/>
    <x v="172"/>
    <x v="57"/>
    <x v="72"/>
  </r>
  <r>
    <x v="173"/>
    <x v="173"/>
    <x v="57"/>
    <x v="72"/>
  </r>
  <r>
    <x v="174"/>
    <x v="174"/>
    <x v="57"/>
    <x v="72"/>
  </r>
  <r>
    <x v="175"/>
    <x v="175"/>
    <x v="57"/>
    <x v="72"/>
  </r>
  <r>
    <x v="176"/>
    <x v="176"/>
    <x v="57"/>
    <x v="72"/>
  </r>
  <r>
    <x v="177"/>
    <x v="177"/>
    <x v="57"/>
    <x v="72"/>
  </r>
  <r>
    <x v="178"/>
    <x v="178"/>
    <x v="57"/>
    <x v="72"/>
  </r>
  <r>
    <x v="179"/>
    <x v="179"/>
    <x v="57"/>
    <x v="72"/>
  </r>
  <r>
    <x v="180"/>
    <x v="180"/>
    <x v="57"/>
    <x v="72"/>
  </r>
  <r>
    <x v="181"/>
    <x v="181"/>
    <x v="57"/>
    <x v="72"/>
  </r>
  <r>
    <x v="182"/>
    <x v="182"/>
    <x v="57"/>
    <x v="72"/>
  </r>
  <r>
    <x v="183"/>
    <x v="183"/>
    <x v="57"/>
    <x v="72"/>
  </r>
  <r>
    <x v="184"/>
    <x v="184"/>
    <x v="57"/>
    <x v="72"/>
  </r>
  <r>
    <x v="185"/>
    <x v="185"/>
    <x v="57"/>
    <x v="72"/>
  </r>
  <r>
    <x v="186"/>
    <x v="186"/>
    <x v="57"/>
    <x v="72"/>
  </r>
  <r>
    <x v="187"/>
    <x v="187"/>
    <x v="57"/>
    <x v="72"/>
  </r>
  <r>
    <x v="188"/>
    <x v="188"/>
    <x v="57"/>
    <x v="72"/>
  </r>
  <r>
    <x v="189"/>
    <x v="189"/>
    <x v="57"/>
    <x v="72"/>
  </r>
  <r>
    <x v="190"/>
    <x v="190"/>
    <x v="57"/>
    <x v="72"/>
  </r>
  <r>
    <x v="191"/>
    <x v="191"/>
    <x v="57"/>
    <x v="72"/>
  </r>
  <r>
    <x v="192"/>
    <x v="192"/>
    <x v="57"/>
    <x v="72"/>
  </r>
  <r>
    <x v="193"/>
    <x v="193"/>
    <x v="57"/>
    <x v="72"/>
  </r>
  <r>
    <x v="194"/>
    <x v="194"/>
    <x v="57"/>
    <x v="72"/>
  </r>
  <r>
    <x v="195"/>
    <x v="195"/>
    <x v="57"/>
    <x v="72"/>
  </r>
  <r>
    <x v="196"/>
    <x v="196"/>
    <x v="57"/>
    <x v="72"/>
  </r>
  <r>
    <x v="197"/>
    <x v="197"/>
    <x v="57"/>
    <x v="72"/>
  </r>
  <r>
    <x v="198"/>
    <x v="198"/>
    <x v="57"/>
    <x v="72"/>
  </r>
  <r>
    <x v="199"/>
    <x v="199"/>
    <x v="57"/>
    <x v="72"/>
  </r>
  <r>
    <x v="200"/>
    <x v="200"/>
    <x v="57"/>
    <x v="72"/>
  </r>
  <r>
    <x v="201"/>
    <x v="201"/>
    <x v="57"/>
    <x v="72"/>
  </r>
  <r>
    <x v="202"/>
    <x v="202"/>
    <x v="57"/>
    <x v="72"/>
  </r>
  <r>
    <x v="203"/>
    <x v="203"/>
    <x v="57"/>
    <x v="72"/>
  </r>
  <r>
    <x v="204"/>
    <x v="204"/>
    <x v="57"/>
    <x v="72"/>
  </r>
  <r>
    <x v="205"/>
    <x v="205"/>
    <x v="57"/>
    <x v="72"/>
  </r>
  <r>
    <x v="206"/>
    <x v="206"/>
    <x v="57"/>
    <x v="72"/>
  </r>
  <r>
    <x v="207"/>
    <x v="207"/>
    <x v="57"/>
    <x v="72"/>
  </r>
  <r>
    <x v="208"/>
    <x v="208"/>
    <x v="57"/>
    <x v="72"/>
  </r>
  <r>
    <x v="208"/>
    <x v="209"/>
    <x v="57"/>
    <x v="72"/>
  </r>
  <r>
    <x v="208"/>
    <x v="210"/>
    <x v="57"/>
    <x v="72"/>
  </r>
  <r>
    <x v="208"/>
    <x v="211"/>
    <x v="57"/>
    <x v="72"/>
  </r>
  <r>
    <x v="208"/>
    <x v="212"/>
    <x v="57"/>
    <x v="72"/>
  </r>
  <r>
    <x v="208"/>
    <x v="213"/>
    <x v="57"/>
    <x v="72"/>
  </r>
  <r>
    <x v="208"/>
    <x v="214"/>
    <x v="57"/>
    <x v="72"/>
  </r>
  <r>
    <x v="208"/>
    <x v="215"/>
    <x v="57"/>
    <x v="72"/>
  </r>
  <r>
    <x v="208"/>
    <x v="216"/>
    <x v="57"/>
    <x v="72"/>
  </r>
  <r>
    <x v="208"/>
    <x v="217"/>
    <x v="57"/>
    <x v="72"/>
  </r>
  <r>
    <x v="208"/>
    <x v="218"/>
    <x v="57"/>
    <x v="72"/>
  </r>
  <r>
    <x v="208"/>
    <x v="219"/>
    <x v="57"/>
    <x v="72"/>
  </r>
  <r>
    <x v="208"/>
    <x v="220"/>
    <x v="57"/>
    <x v="72"/>
  </r>
  <r>
    <x v="208"/>
    <x v="221"/>
    <x v="57"/>
    <x v="72"/>
  </r>
  <r>
    <x v="208"/>
    <x v="222"/>
    <x v="57"/>
    <x v="72"/>
  </r>
  <r>
    <x v="208"/>
    <x v="223"/>
    <x v="57"/>
    <x v="72"/>
  </r>
  <r>
    <x v="208"/>
    <x v="224"/>
    <x v="57"/>
    <x v="72"/>
  </r>
  <r>
    <x v="208"/>
    <x v="225"/>
    <x v="57"/>
    <x v="72"/>
  </r>
  <r>
    <x v="208"/>
    <x v="226"/>
    <x v="57"/>
    <x v="72"/>
  </r>
  <r>
    <x v="208"/>
    <x v="227"/>
    <x v="57"/>
    <x v="72"/>
  </r>
  <r>
    <x v="208"/>
    <x v="228"/>
    <x v="57"/>
    <x v="72"/>
  </r>
  <r>
    <x v="208"/>
    <x v="229"/>
    <x v="57"/>
    <x v="72"/>
  </r>
  <r>
    <x v="208"/>
    <x v="230"/>
    <x v="57"/>
    <x v="72"/>
  </r>
  <r>
    <x v="208"/>
    <x v="231"/>
    <x v="57"/>
    <x v="72"/>
  </r>
  <r>
    <x v="208"/>
    <x v="232"/>
    <x v="57"/>
    <x v="72"/>
  </r>
  <r>
    <x v="208"/>
    <x v="233"/>
    <x v="57"/>
    <x v="72"/>
  </r>
  <r>
    <x v="208"/>
    <x v="234"/>
    <x v="57"/>
    <x v="72"/>
  </r>
  <r>
    <x v="208"/>
    <x v="235"/>
    <x v="57"/>
    <x v="72"/>
  </r>
  <r>
    <x v="208"/>
    <x v="236"/>
    <x v="57"/>
    <x v="72"/>
  </r>
  <r>
    <x v="208"/>
    <x v="237"/>
    <x v="57"/>
    <x v="72"/>
  </r>
  <r>
    <x v="208"/>
    <x v="238"/>
    <x v="57"/>
    <x v="72"/>
  </r>
  <r>
    <x v="208"/>
    <x v="239"/>
    <x v="57"/>
    <x v="72"/>
  </r>
  <r>
    <x v="208"/>
    <x v="240"/>
    <x v="57"/>
    <x v="72"/>
  </r>
  <r>
    <x v="208"/>
    <x v="241"/>
    <x v="57"/>
    <x v="72"/>
  </r>
  <r>
    <x v="208"/>
    <x v="242"/>
    <x v="57"/>
    <x v="72"/>
  </r>
  <r>
    <x v="208"/>
    <x v="243"/>
    <x v="57"/>
    <x v="72"/>
  </r>
  <r>
    <x v="208"/>
    <x v="244"/>
    <x v="57"/>
    <x v="72"/>
  </r>
  <r>
    <x v="208"/>
    <x v="245"/>
    <x v="57"/>
    <x v="72"/>
  </r>
  <r>
    <x v="208"/>
    <x v="246"/>
    <x v="57"/>
    <x v="72"/>
  </r>
  <r>
    <x v="208"/>
    <x v="247"/>
    <x v="57"/>
    <x v="72"/>
  </r>
  <r>
    <x v="208"/>
    <x v="248"/>
    <x v="57"/>
    <x v="72"/>
  </r>
  <r>
    <x v="208"/>
    <x v="249"/>
    <x v="57"/>
    <x v="72"/>
  </r>
  <r>
    <x v="208"/>
    <x v="250"/>
    <x v="57"/>
    <x v="72"/>
  </r>
  <r>
    <x v="208"/>
    <x v="251"/>
    <x v="57"/>
    <x v="72"/>
  </r>
  <r>
    <x v="208"/>
    <x v="252"/>
    <x v="57"/>
    <x v="72"/>
  </r>
  <r>
    <x v="208"/>
    <x v="253"/>
    <x v="57"/>
    <x v="72"/>
  </r>
  <r>
    <x v="208"/>
    <x v="254"/>
    <x v="57"/>
    <x v="72"/>
  </r>
  <r>
    <x v="208"/>
    <x v="255"/>
    <x v="57"/>
    <x v="72"/>
  </r>
  <r>
    <x v="208"/>
    <x v="256"/>
    <x v="57"/>
    <x v="72"/>
  </r>
  <r>
    <x v="208"/>
    <x v="257"/>
    <x v="57"/>
    <x v="72"/>
  </r>
  <r>
    <x v="208"/>
    <x v="258"/>
    <x v="57"/>
    <x v="72"/>
  </r>
  <r>
    <x v="208"/>
    <x v="259"/>
    <x v="57"/>
    <x v="72"/>
  </r>
  <r>
    <x v="208"/>
    <x v="260"/>
    <x v="57"/>
    <x v="72"/>
  </r>
  <r>
    <x v="208"/>
    <x v="261"/>
    <x v="57"/>
    <x v="72"/>
  </r>
  <r>
    <x v="208"/>
    <x v="262"/>
    <x v="57"/>
    <x v="72"/>
  </r>
  <r>
    <x v="208"/>
    <x v="263"/>
    <x v="57"/>
    <x v="72"/>
  </r>
  <r>
    <x v="208"/>
    <x v="264"/>
    <x v="57"/>
    <x v="72"/>
  </r>
  <r>
    <x v="208"/>
    <x v="265"/>
    <x v="57"/>
    <x v="72"/>
  </r>
  <r>
    <x v="208"/>
    <x v="266"/>
    <x v="57"/>
    <x v="72"/>
  </r>
  <r>
    <x v="208"/>
    <x v="267"/>
    <x v="57"/>
    <x v="72"/>
  </r>
  <r>
    <x v="208"/>
    <x v="268"/>
    <x v="57"/>
    <x v="72"/>
  </r>
  <r>
    <x v="208"/>
    <x v="269"/>
    <x v="57"/>
    <x v="72"/>
  </r>
  <r>
    <x v="208"/>
    <x v="270"/>
    <x v="57"/>
    <x v="72"/>
  </r>
  <r>
    <x v="208"/>
    <x v="271"/>
    <x v="57"/>
    <x v="72"/>
  </r>
  <r>
    <x v="208"/>
    <x v="272"/>
    <x v="57"/>
    <x v="72"/>
  </r>
  <r>
    <x v="208"/>
    <x v="273"/>
    <x v="57"/>
    <x v="72"/>
  </r>
  <r>
    <x v="208"/>
    <x v="274"/>
    <x v="57"/>
    <x v="72"/>
  </r>
  <r>
    <x v="208"/>
    <x v="275"/>
    <x v="57"/>
    <x v="72"/>
  </r>
  <r>
    <x v="208"/>
    <x v="276"/>
    <x v="57"/>
    <x v="72"/>
  </r>
  <r>
    <x v="208"/>
    <x v="277"/>
    <x v="57"/>
    <x v="72"/>
  </r>
  <r>
    <x v="208"/>
    <x v="278"/>
    <x v="57"/>
    <x v="72"/>
  </r>
  <r>
    <x v="208"/>
    <x v="279"/>
    <x v="57"/>
    <x v="72"/>
  </r>
  <r>
    <x v="208"/>
    <x v="280"/>
    <x v="57"/>
    <x v="72"/>
  </r>
  <r>
    <x v="208"/>
    <x v="281"/>
    <x v="57"/>
    <x v="72"/>
  </r>
  <r>
    <x v="208"/>
    <x v="282"/>
    <x v="57"/>
    <x v="72"/>
  </r>
  <r>
    <x v="208"/>
    <x v="283"/>
    <x v="57"/>
    <x v="72"/>
  </r>
  <r>
    <x v="208"/>
    <x v="284"/>
    <x v="57"/>
    <x v="72"/>
  </r>
  <r>
    <x v="208"/>
    <x v="285"/>
    <x v="57"/>
    <x v="72"/>
  </r>
  <r>
    <x v="208"/>
    <x v="286"/>
    <x v="57"/>
    <x v="72"/>
  </r>
  <r>
    <x v="208"/>
    <x v="287"/>
    <x v="57"/>
    <x v="72"/>
  </r>
  <r>
    <x v="208"/>
    <x v="288"/>
    <x v="57"/>
    <x v="72"/>
  </r>
  <r>
    <x v="208"/>
    <x v="289"/>
    <x v="57"/>
    <x v="72"/>
  </r>
  <r>
    <x v="208"/>
    <x v="290"/>
    <x v="57"/>
    <x v="72"/>
  </r>
  <r>
    <x v="208"/>
    <x v="291"/>
    <x v="57"/>
    <x v="72"/>
  </r>
  <r>
    <x v="208"/>
    <x v="292"/>
    <x v="57"/>
    <x v="72"/>
  </r>
  <r>
    <x v="208"/>
    <x v="293"/>
    <x v="57"/>
    <x v="72"/>
  </r>
  <r>
    <x v="208"/>
    <x v="294"/>
    <x v="57"/>
    <x v="72"/>
  </r>
  <r>
    <x v="208"/>
    <x v="295"/>
    <x v="57"/>
    <x v="72"/>
  </r>
  <r>
    <x v="208"/>
    <x v="296"/>
    <x v="57"/>
    <x v="72"/>
  </r>
  <r>
    <x v="208"/>
    <x v="297"/>
    <x v="57"/>
    <x v="72"/>
  </r>
  <r>
    <x v="208"/>
    <x v="298"/>
    <x v="57"/>
    <x v="72"/>
  </r>
  <r>
    <x v="208"/>
    <x v="299"/>
    <x v="57"/>
    <x v="72"/>
  </r>
  <r>
    <x v="208"/>
    <x v="300"/>
    <x v="57"/>
    <x v="72"/>
  </r>
  <r>
    <x v="208"/>
    <x v="301"/>
    <x v="57"/>
    <x v="72"/>
  </r>
  <r>
    <x v="208"/>
    <x v="302"/>
    <x v="57"/>
    <x v="72"/>
  </r>
  <r>
    <x v="208"/>
    <x v="303"/>
    <x v="57"/>
    <x v="72"/>
  </r>
  <r>
    <x v="208"/>
    <x v="304"/>
    <x v="57"/>
    <x v="72"/>
  </r>
  <r>
    <x v="208"/>
    <x v="305"/>
    <x v="57"/>
    <x v="72"/>
  </r>
  <r>
    <x v="208"/>
    <x v="306"/>
    <x v="57"/>
    <x v="72"/>
  </r>
  <r>
    <x v="208"/>
    <x v="307"/>
    <x v="57"/>
    <x v="72"/>
  </r>
  <r>
    <x v="208"/>
    <x v="308"/>
    <x v="57"/>
    <x v="72"/>
  </r>
  <r>
    <x v="208"/>
    <x v="309"/>
    <x v="57"/>
    <x v="72"/>
  </r>
  <r>
    <x v="208"/>
    <x v="310"/>
    <x v="57"/>
    <x v="72"/>
  </r>
  <r>
    <x v="208"/>
    <x v="311"/>
    <x v="57"/>
    <x v="72"/>
  </r>
  <r>
    <x v="208"/>
    <x v="312"/>
    <x v="57"/>
    <x v="72"/>
  </r>
  <r>
    <x v="208"/>
    <x v="313"/>
    <x v="57"/>
    <x v="72"/>
  </r>
  <r>
    <x v="208"/>
    <x v="314"/>
    <x v="57"/>
    <x v="72"/>
  </r>
  <r>
    <x v="208"/>
    <x v="315"/>
    <x v="57"/>
    <x v="72"/>
  </r>
  <r>
    <x v="208"/>
    <x v="316"/>
    <x v="57"/>
    <x v="72"/>
  </r>
  <r>
    <x v="208"/>
    <x v="317"/>
    <x v="57"/>
    <x v="72"/>
  </r>
  <r>
    <x v="208"/>
    <x v="318"/>
    <x v="57"/>
    <x v="72"/>
  </r>
  <r>
    <x v="208"/>
    <x v="319"/>
    <x v="57"/>
    <x v="72"/>
  </r>
  <r>
    <x v="208"/>
    <x v="320"/>
    <x v="57"/>
    <x v="72"/>
  </r>
  <r>
    <x v="208"/>
    <x v="321"/>
    <x v="57"/>
    <x v="72"/>
  </r>
  <r>
    <x v="208"/>
    <x v="322"/>
    <x v="57"/>
    <x v="72"/>
  </r>
  <r>
    <x v="208"/>
    <x v="323"/>
    <x v="57"/>
    <x v="72"/>
  </r>
  <r>
    <x v="208"/>
    <x v="324"/>
    <x v="57"/>
    <x v="72"/>
  </r>
  <r>
    <x v="208"/>
    <x v="325"/>
    <x v="57"/>
    <x v="72"/>
  </r>
  <r>
    <x v="208"/>
    <x v="326"/>
    <x v="57"/>
    <x v="72"/>
  </r>
  <r>
    <x v="208"/>
    <x v="327"/>
    <x v="57"/>
    <x v="72"/>
  </r>
  <r>
    <x v="208"/>
    <x v="328"/>
    <x v="57"/>
    <x v="72"/>
  </r>
  <r>
    <x v="208"/>
    <x v="329"/>
    <x v="57"/>
    <x v="72"/>
  </r>
  <r>
    <x v="208"/>
    <x v="330"/>
    <x v="57"/>
    <x v="72"/>
  </r>
  <r>
    <x v="208"/>
    <x v="331"/>
    <x v="57"/>
    <x v="72"/>
  </r>
  <r>
    <x v="208"/>
    <x v="332"/>
    <x v="57"/>
    <x v="72"/>
  </r>
  <r>
    <x v="208"/>
    <x v="333"/>
    <x v="57"/>
    <x v="72"/>
  </r>
  <r>
    <x v="208"/>
    <x v="334"/>
    <x v="57"/>
    <x v="72"/>
  </r>
  <r>
    <x v="208"/>
    <x v="335"/>
    <x v="57"/>
    <x v="72"/>
  </r>
  <r>
    <x v="208"/>
    <x v="336"/>
    <x v="57"/>
    <x v="72"/>
  </r>
  <r>
    <x v="208"/>
    <x v="337"/>
    <x v="57"/>
    <x v="72"/>
  </r>
  <r>
    <x v="208"/>
    <x v="338"/>
    <x v="57"/>
    <x v="72"/>
  </r>
  <r>
    <x v="208"/>
    <x v="339"/>
    <x v="57"/>
    <x v="72"/>
  </r>
  <r>
    <x v="208"/>
    <x v="340"/>
    <x v="57"/>
    <x v="72"/>
  </r>
  <r>
    <x v="208"/>
    <x v="341"/>
    <x v="57"/>
    <x v="72"/>
  </r>
  <r>
    <x v="208"/>
    <x v="342"/>
    <x v="57"/>
    <x v="72"/>
  </r>
  <r>
    <x v="208"/>
    <x v="343"/>
    <x v="57"/>
    <x v="72"/>
  </r>
  <r>
    <x v="208"/>
    <x v="344"/>
    <x v="57"/>
    <x v="72"/>
  </r>
  <r>
    <x v="208"/>
    <x v="345"/>
    <x v="57"/>
    <x v="72"/>
  </r>
  <r>
    <x v="208"/>
    <x v="346"/>
    <x v="57"/>
    <x v="72"/>
  </r>
  <r>
    <x v="208"/>
    <x v="347"/>
    <x v="57"/>
    <x v="72"/>
  </r>
  <r>
    <x v="208"/>
    <x v="348"/>
    <x v="57"/>
    <x v="72"/>
  </r>
  <r>
    <x v="208"/>
    <x v="349"/>
    <x v="57"/>
    <x v="72"/>
  </r>
  <r>
    <x v="208"/>
    <x v="350"/>
    <x v="57"/>
    <x v="72"/>
  </r>
  <r>
    <x v="208"/>
    <x v="351"/>
    <x v="57"/>
    <x v="72"/>
  </r>
  <r>
    <x v="208"/>
    <x v="352"/>
    <x v="57"/>
    <x v="72"/>
  </r>
  <r>
    <x v="208"/>
    <x v="353"/>
    <x v="57"/>
    <x v="72"/>
  </r>
  <r>
    <x v="208"/>
    <x v="354"/>
    <x v="57"/>
    <x v="72"/>
  </r>
  <r>
    <x v="208"/>
    <x v="355"/>
    <x v="57"/>
    <x v="72"/>
  </r>
  <r>
    <x v="208"/>
    <x v="356"/>
    <x v="57"/>
    <x v="72"/>
  </r>
  <r>
    <x v="208"/>
    <x v="357"/>
    <x v="57"/>
    <x v="72"/>
  </r>
  <r>
    <x v="208"/>
    <x v="358"/>
    <x v="57"/>
    <x v="72"/>
  </r>
  <r>
    <x v="208"/>
    <x v="359"/>
    <x v="57"/>
    <x v="72"/>
  </r>
  <r>
    <x v="208"/>
    <x v="360"/>
    <x v="57"/>
    <x v="72"/>
  </r>
  <r>
    <x v="208"/>
    <x v="361"/>
    <x v="57"/>
    <x v="72"/>
  </r>
  <r>
    <x v="208"/>
    <x v="362"/>
    <x v="57"/>
    <x v="72"/>
  </r>
  <r>
    <x v="208"/>
    <x v="363"/>
    <x v="57"/>
    <x v="72"/>
  </r>
  <r>
    <x v="208"/>
    <x v="364"/>
    <x v="57"/>
    <x v="72"/>
  </r>
  <r>
    <x v="208"/>
    <x v="365"/>
    <x v="57"/>
    <x v="72"/>
  </r>
  <r>
    <x v="208"/>
    <x v="366"/>
    <x v="57"/>
    <x v="72"/>
  </r>
  <r>
    <x v="208"/>
    <x v="367"/>
    <x v="57"/>
    <x v="72"/>
  </r>
  <r>
    <x v="208"/>
    <x v="368"/>
    <x v="57"/>
    <x v="72"/>
  </r>
  <r>
    <x v="208"/>
    <x v="369"/>
    <x v="57"/>
    <x v="72"/>
  </r>
  <r>
    <x v="208"/>
    <x v="370"/>
    <x v="57"/>
    <x v="72"/>
  </r>
  <r>
    <x v="208"/>
    <x v="371"/>
    <x v="57"/>
    <x v="72"/>
  </r>
  <r>
    <x v="208"/>
    <x v="372"/>
    <x v="57"/>
    <x v="72"/>
  </r>
  <r>
    <x v="208"/>
    <x v="373"/>
    <x v="57"/>
    <x v="72"/>
  </r>
  <r>
    <x v="208"/>
    <x v="374"/>
    <x v="57"/>
    <x v="72"/>
  </r>
  <r>
    <x v="208"/>
    <x v="375"/>
    <x v="57"/>
    <x v="72"/>
  </r>
  <r>
    <x v="208"/>
    <x v="376"/>
    <x v="57"/>
    <x v="72"/>
  </r>
  <r>
    <x v="208"/>
    <x v="377"/>
    <x v="57"/>
    <x v="72"/>
  </r>
  <r>
    <x v="208"/>
    <x v="378"/>
    <x v="57"/>
    <x v="72"/>
  </r>
  <r>
    <x v="208"/>
    <x v="379"/>
    <x v="57"/>
    <x v="72"/>
  </r>
  <r>
    <x v="208"/>
    <x v="380"/>
    <x v="57"/>
    <x v="72"/>
  </r>
  <r>
    <x v="208"/>
    <x v="381"/>
    <x v="57"/>
    <x v="72"/>
  </r>
  <r>
    <x v="208"/>
    <x v="382"/>
    <x v="57"/>
    <x v="72"/>
  </r>
  <r>
    <x v="208"/>
    <x v="383"/>
    <x v="57"/>
    <x v="72"/>
  </r>
  <r>
    <x v="208"/>
    <x v="384"/>
    <x v="57"/>
    <x v="72"/>
  </r>
  <r>
    <x v="208"/>
    <x v="385"/>
    <x v="57"/>
    <x v="72"/>
  </r>
  <r>
    <x v="208"/>
    <x v="386"/>
    <x v="57"/>
    <x v="72"/>
  </r>
  <r>
    <x v="208"/>
    <x v="387"/>
    <x v="57"/>
    <x v="72"/>
  </r>
  <r>
    <x v="208"/>
    <x v="388"/>
    <x v="57"/>
    <x v="72"/>
  </r>
  <r>
    <x v="208"/>
    <x v="389"/>
    <x v="57"/>
    <x v="72"/>
  </r>
  <r>
    <x v="208"/>
    <x v="390"/>
    <x v="57"/>
    <x v="72"/>
  </r>
  <r>
    <x v="208"/>
    <x v="391"/>
    <x v="57"/>
    <x v="72"/>
  </r>
  <r>
    <x v="208"/>
    <x v="392"/>
    <x v="57"/>
    <x v="72"/>
  </r>
  <r>
    <x v="208"/>
    <x v="393"/>
    <x v="57"/>
    <x v="72"/>
  </r>
  <r>
    <x v="208"/>
    <x v="394"/>
    <x v="57"/>
    <x v="72"/>
  </r>
  <r>
    <x v="208"/>
    <x v="395"/>
    <x v="57"/>
    <x v="72"/>
  </r>
  <r>
    <x v="208"/>
    <x v="396"/>
    <x v="57"/>
    <x v="72"/>
  </r>
  <r>
    <x v="208"/>
    <x v="397"/>
    <x v="57"/>
    <x v="72"/>
  </r>
  <r>
    <x v="208"/>
    <x v="398"/>
    <x v="57"/>
    <x v="72"/>
  </r>
  <r>
    <x v="208"/>
    <x v="399"/>
    <x v="57"/>
    <x v="72"/>
  </r>
  <r>
    <x v="208"/>
    <x v="400"/>
    <x v="57"/>
    <x v="72"/>
  </r>
  <r>
    <x v="208"/>
    <x v="401"/>
    <x v="57"/>
    <x v="72"/>
  </r>
  <r>
    <x v="208"/>
    <x v="402"/>
    <x v="57"/>
    <x v="72"/>
  </r>
  <r>
    <x v="208"/>
    <x v="403"/>
    <x v="57"/>
    <x v="72"/>
  </r>
  <r>
    <x v="208"/>
    <x v="404"/>
    <x v="57"/>
    <x v="72"/>
  </r>
  <r>
    <x v="208"/>
    <x v="405"/>
    <x v="57"/>
    <x v="72"/>
  </r>
  <r>
    <x v="208"/>
    <x v="406"/>
    <x v="57"/>
    <x v="72"/>
  </r>
  <r>
    <x v="208"/>
    <x v="407"/>
    <x v="57"/>
    <x v="72"/>
  </r>
  <r>
    <x v="208"/>
    <x v="408"/>
    <x v="57"/>
    <x v="72"/>
  </r>
  <r>
    <x v="208"/>
    <x v="409"/>
    <x v="57"/>
    <x v="72"/>
  </r>
  <r>
    <x v="208"/>
    <x v="410"/>
    <x v="57"/>
    <x v="72"/>
  </r>
  <r>
    <x v="208"/>
    <x v="411"/>
    <x v="57"/>
    <x v="72"/>
  </r>
  <r>
    <x v="208"/>
    <x v="412"/>
    <x v="57"/>
    <x v="72"/>
  </r>
  <r>
    <x v="208"/>
    <x v="413"/>
    <x v="57"/>
    <x v="72"/>
  </r>
  <r>
    <x v="208"/>
    <x v="414"/>
    <x v="57"/>
    <x v="72"/>
  </r>
  <r>
    <x v="208"/>
    <x v="415"/>
    <x v="57"/>
    <x v="72"/>
  </r>
  <r>
    <x v="208"/>
    <x v="416"/>
    <x v="57"/>
    <x v="72"/>
  </r>
  <r>
    <x v="208"/>
    <x v="417"/>
    <x v="57"/>
    <x v="72"/>
  </r>
  <r>
    <x v="208"/>
    <x v="418"/>
    <x v="57"/>
    <x v="72"/>
  </r>
  <r>
    <x v="208"/>
    <x v="419"/>
    <x v="57"/>
    <x v="72"/>
  </r>
  <r>
    <x v="208"/>
    <x v="420"/>
    <x v="57"/>
    <x v="72"/>
  </r>
  <r>
    <x v="208"/>
    <x v="421"/>
    <x v="57"/>
    <x v="72"/>
  </r>
  <r>
    <x v="208"/>
    <x v="422"/>
    <x v="57"/>
    <x v="72"/>
  </r>
  <r>
    <x v="208"/>
    <x v="423"/>
    <x v="57"/>
    <x v="72"/>
  </r>
  <r>
    <x v="208"/>
    <x v="424"/>
    <x v="57"/>
    <x v="72"/>
  </r>
  <r>
    <x v="208"/>
    <x v="425"/>
    <x v="57"/>
    <x v="72"/>
  </r>
  <r>
    <x v="208"/>
    <x v="426"/>
    <x v="57"/>
    <x v="72"/>
  </r>
  <r>
    <x v="208"/>
    <x v="427"/>
    <x v="57"/>
    <x v="72"/>
  </r>
  <r>
    <x v="208"/>
    <x v="428"/>
    <x v="57"/>
    <x v="72"/>
  </r>
  <r>
    <x v="208"/>
    <x v="429"/>
    <x v="57"/>
    <x v="72"/>
  </r>
  <r>
    <x v="208"/>
    <x v="430"/>
    <x v="57"/>
    <x v="72"/>
  </r>
  <r>
    <x v="208"/>
    <x v="431"/>
    <x v="57"/>
    <x v="72"/>
  </r>
  <r>
    <x v="208"/>
    <x v="432"/>
    <x v="57"/>
    <x v="72"/>
  </r>
  <r>
    <x v="208"/>
    <x v="433"/>
    <x v="57"/>
    <x v="72"/>
  </r>
  <r>
    <x v="208"/>
    <x v="434"/>
    <x v="57"/>
    <x v="72"/>
  </r>
  <r>
    <x v="208"/>
    <x v="435"/>
    <x v="57"/>
    <x v="72"/>
  </r>
  <r>
    <x v="208"/>
    <x v="436"/>
    <x v="57"/>
    <x v="72"/>
  </r>
  <r>
    <x v="208"/>
    <x v="437"/>
    <x v="57"/>
    <x v="72"/>
  </r>
  <r>
    <x v="208"/>
    <x v="438"/>
    <x v="57"/>
    <x v="72"/>
  </r>
  <r>
    <x v="208"/>
    <x v="439"/>
    <x v="57"/>
    <x v="72"/>
  </r>
  <r>
    <x v="208"/>
    <x v="440"/>
    <x v="57"/>
    <x v="72"/>
  </r>
  <r>
    <x v="208"/>
    <x v="441"/>
    <x v="57"/>
    <x v="72"/>
  </r>
  <r>
    <x v="208"/>
    <x v="442"/>
    <x v="57"/>
    <x v="72"/>
  </r>
  <r>
    <x v="208"/>
    <x v="443"/>
    <x v="57"/>
    <x v="72"/>
  </r>
  <r>
    <x v="208"/>
    <x v="444"/>
    <x v="57"/>
    <x v="72"/>
  </r>
  <r>
    <x v="208"/>
    <x v="445"/>
    <x v="57"/>
    <x v="72"/>
  </r>
  <r>
    <x v="208"/>
    <x v="446"/>
    <x v="57"/>
    <x v="72"/>
  </r>
  <r>
    <x v="208"/>
    <x v="447"/>
    <x v="57"/>
    <x v="72"/>
  </r>
  <r>
    <x v="208"/>
    <x v="448"/>
    <x v="57"/>
    <x v="72"/>
  </r>
  <r>
    <x v="208"/>
    <x v="449"/>
    <x v="57"/>
    <x v="72"/>
  </r>
  <r>
    <x v="208"/>
    <x v="450"/>
    <x v="57"/>
    <x v="72"/>
  </r>
  <r>
    <x v="208"/>
    <x v="451"/>
    <x v="57"/>
    <x v="72"/>
  </r>
  <r>
    <x v="208"/>
    <x v="452"/>
    <x v="57"/>
    <x v="72"/>
  </r>
  <r>
    <x v="208"/>
    <x v="453"/>
    <x v="57"/>
    <x v="72"/>
  </r>
  <r>
    <x v="208"/>
    <x v="454"/>
    <x v="57"/>
    <x v="72"/>
  </r>
  <r>
    <x v="208"/>
    <x v="455"/>
    <x v="57"/>
    <x v="72"/>
  </r>
  <r>
    <x v="208"/>
    <x v="456"/>
    <x v="57"/>
    <x v="72"/>
  </r>
  <r>
    <x v="208"/>
    <x v="457"/>
    <x v="57"/>
    <x v="72"/>
  </r>
  <r>
    <x v="208"/>
    <x v="458"/>
    <x v="57"/>
    <x v="72"/>
  </r>
  <r>
    <x v="208"/>
    <x v="459"/>
    <x v="57"/>
    <x v="72"/>
  </r>
  <r>
    <x v="208"/>
    <x v="460"/>
    <x v="57"/>
    <x v="72"/>
  </r>
  <r>
    <x v="208"/>
    <x v="461"/>
    <x v="57"/>
    <x v="72"/>
  </r>
  <r>
    <x v="208"/>
    <x v="462"/>
    <x v="57"/>
    <x v="72"/>
  </r>
  <r>
    <x v="208"/>
    <x v="463"/>
    <x v="57"/>
    <x v="72"/>
  </r>
  <r>
    <x v="208"/>
    <x v="464"/>
    <x v="57"/>
    <x v="72"/>
  </r>
  <r>
    <x v="208"/>
    <x v="465"/>
    <x v="57"/>
    <x v="72"/>
  </r>
  <r>
    <x v="208"/>
    <x v="466"/>
    <x v="57"/>
    <x v="72"/>
  </r>
  <r>
    <x v="208"/>
    <x v="467"/>
    <x v="57"/>
    <x v="72"/>
  </r>
  <r>
    <x v="208"/>
    <x v="468"/>
    <x v="57"/>
    <x v="72"/>
  </r>
  <r>
    <x v="208"/>
    <x v="469"/>
    <x v="57"/>
    <x v="72"/>
  </r>
  <r>
    <x v="208"/>
    <x v="470"/>
    <x v="57"/>
    <x v="72"/>
  </r>
  <r>
    <x v="208"/>
    <x v="471"/>
    <x v="57"/>
    <x v="72"/>
  </r>
  <r>
    <x v="208"/>
    <x v="472"/>
    <x v="57"/>
    <x v="72"/>
  </r>
  <r>
    <x v="208"/>
    <x v="473"/>
    <x v="57"/>
    <x v="72"/>
  </r>
  <r>
    <x v="208"/>
    <x v="474"/>
    <x v="57"/>
    <x v="72"/>
  </r>
  <r>
    <x v="208"/>
    <x v="475"/>
    <x v="57"/>
    <x v="72"/>
  </r>
  <r>
    <x v="208"/>
    <x v="476"/>
    <x v="57"/>
    <x v="72"/>
  </r>
  <r>
    <x v="208"/>
    <x v="477"/>
    <x v="57"/>
    <x v="72"/>
  </r>
  <r>
    <x v="208"/>
    <x v="478"/>
    <x v="57"/>
    <x v="72"/>
  </r>
  <r>
    <x v="208"/>
    <x v="479"/>
    <x v="57"/>
    <x v="72"/>
  </r>
  <r>
    <x v="208"/>
    <x v="480"/>
    <x v="57"/>
    <x v="72"/>
  </r>
  <r>
    <x v="208"/>
    <x v="481"/>
    <x v="57"/>
    <x v="72"/>
  </r>
  <r>
    <x v="208"/>
    <x v="482"/>
    <x v="57"/>
    <x v="72"/>
  </r>
  <r>
    <x v="208"/>
    <x v="483"/>
    <x v="57"/>
    <x v="72"/>
  </r>
  <r>
    <x v="208"/>
    <x v="484"/>
    <x v="57"/>
    <x v="72"/>
  </r>
  <r>
    <x v="208"/>
    <x v="485"/>
    <x v="57"/>
    <x v="72"/>
  </r>
  <r>
    <x v="208"/>
    <x v="486"/>
    <x v="57"/>
    <x v="72"/>
  </r>
  <r>
    <x v="208"/>
    <x v="487"/>
    <x v="57"/>
    <x v="72"/>
  </r>
  <r>
    <x v="208"/>
    <x v="488"/>
    <x v="57"/>
    <x v="72"/>
  </r>
  <r>
    <x v="208"/>
    <x v="489"/>
    <x v="57"/>
    <x v="72"/>
  </r>
  <r>
    <x v="208"/>
    <x v="490"/>
    <x v="57"/>
    <x v="72"/>
  </r>
  <r>
    <x v="208"/>
    <x v="491"/>
    <x v="57"/>
    <x v="72"/>
  </r>
  <r>
    <x v="208"/>
    <x v="492"/>
    <x v="57"/>
    <x v="72"/>
  </r>
  <r>
    <x v="208"/>
    <x v="493"/>
    <x v="57"/>
    <x v="72"/>
  </r>
  <r>
    <x v="208"/>
    <x v="494"/>
    <x v="57"/>
    <x v="72"/>
  </r>
  <r>
    <x v="208"/>
    <x v="495"/>
    <x v="57"/>
    <x v="72"/>
  </r>
  <r>
    <x v="208"/>
    <x v="496"/>
    <x v="57"/>
    <x v="72"/>
  </r>
  <r>
    <x v="208"/>
    <x v="497"/>
    <x v="57"/>
    <x v="72"/>
  </r>
  <r>
    <x v="208"/>
    <x v="498"/>
    <x v="57"/>
    <x v="72"/>
  </r>
  <r>
    <x v="208"/>
    <x v="499"/>
    <x v="57"/>
    <x v="72"/>
  </r>
  <r>
    <x v="208"/>
    <x v="500"/>
    <x v="57"/>
    <x v="72"/>
  </r>
  <r>
    <x v="208"/>
    <x v="501"/>
    <x v="57"/>
    <x v="72"/>
  </r>
  <r>
    <x v="208"/>
    <x v="502"/>
    <x v="57"/>
    <x v="72"/>
  </r>
  <r>
    <x v="208"/>
    <x v="503"/>
    <x v="57"/>
    <x v="72"/>
  </r>
  <r>
    <x v="208"/>
    <x v="504"/>
    <x v="57"/>
    <x v="72"/>
  </r>
  <r>
    <x v="208"/>
    <x v="505"/>
    <x v="57"/>
    <x v="72"/>
  </r>
  <r>
    <x v="208"/>
    <x v="506"/>
    <x v="57"/>
    <x v="72"/>
  </r>
  <r>
    <x v="208"/>
    <x v="507"/>
    <x v="57"/>
    <x v="72"/>
  </r>
  <r>
    <x v="208"/>
    <x v="508"/>
    <x v="57"/>
    <x v="72"/>
  </r>
  <r>
    <x v="208"/>
    <x v="509"/>
    <x v="57"/>
    <x v="72"/>
  </r>
  <r>
    <x v="208"/>
    <x v="510"/>
    <x v="57"/>
    <x v="72"/>
  </r>
  <r>
    <x v="208"/>
    <x v="511"/>
    <x v="57"/>
    <x v="72"/>
  </r>
  <r>
    <x v="208"/>
    <x v="512"/>
    <x v="57"/>
    <x v="72"/>
  </r>
  <r>
    <x v="208"/>
    <x v="513"/>
    <x v="57"/>
    <x v="72"/>
  </r>
  <r>
    <x v="208"/>
    <x v="514"/>
    <x v="57"/>
    <x v="72"/>
  </r>
  <r>
    <x v="208"/>
    <x v="515"/>
    <x v="57"/>
    <x v="72"/>
  </r>
  <r>
    <x v="208"/>
    <x v="516"/>
    <x v="57"/>
    <x v="72"/>
  </r>
  <r>
    <x v="208"/>
    <x v="517"/>
    <x v="57"/>
    <x v="72"/>
  </r>
  <r>
    <x v="208"/>
    <x v="518"/>
    <x v="57"/>
    <x v="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A8017-A5DC-43E7-9796-E26C40094135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I7" firstHeaderRow="0" firstDataRow="1" firstDataCol="0" rowPageCount="4" colPageCount="1"/>
  <pivotFields count="4">
    <pivotField axis="axisPage" dataField="1" showAll="0">
      <items count="2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axis="axisPage" dataField="1" showAll="0">
      <items count="5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t="default"/>
      </items>
    </pivotField>
    <pivotField axis="axisPage" dataField="1" showAll="0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axis="axisPage" dataField="1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2" hier="-1"/>
    <pageField fld="1" hier="-1"/>
    <pageField fld="0" hier="-1"/>
    <pageField fld="3" hier="-1"/>
  </pageFields>
  <dataFields count="4">
    <dataField name="Count of 2026HNO scope" fld="0" subtotal="count" baseField="0" baseItem="0"/>
    <dataField name="Count of 2025HNO scope" fld="1" subtotal="count" baseField="0" baseItem="0"/>
    <dataField name="Count of MSNA 2024" fld="2" subtotal="count" baseField="0" baseItem="0"/>
    <dataField name="Count of adminMSNA2025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7E8D6-0E39-4731-9262-D1D6EFC78EAE}">
  <dimension ref="A1:M209"/>
  <sheetViews>
    <sheetView workbookViewId="0">
      <selection activeCell="G1" sqref="G1"/>
    </sheetView>
  </sheetViews>
  <sheetFormatPr defaultRowHeight="14.5" x14ac:dyDescent="0.35"/>
  <cols>
    <col min="1" max="1" width="19.26953125" style="14" customWidth="1"/>
    <col min="2" max="2" width="18.1796875" style="14" customWidth="1"/>
    <col min="4" max="5" width="11" bestFit="1" customWidth="1"/>
    <col min="6" max="6" width="10" bestFit="1" customWidth="1"/>
    <col min="7" max="7" width="14.1796875" customWidth="1"/>
  </cols>
  <sheetData>
    <row r="1" spans="1:13" s="4" customFormat="1" ht="39.4" customHeight="1" x14ac:dyDescent="0.35">
      <c r="A1" s="11" t="s">
        <v>0</v>
      </c>
      <c r="B1" s="12" t="s">
        <v>1</v>
      </c>
      <c r="C1" s="6" t="s">
        <v>5</v>
      </c>
      <c r="D1" s="6" t="s">
        <v>6</v>
      </c>
      <c r="E1" s="6" t="s">
        <v>7</v>
      </c>
      <c r="F1" s="6" t="s">
        <v>10</v>
      </c>
      <c r="G1" s="6" t="s">
        <v>4</v>
      </c>
      <c r="H1" s="7" t="s">
        <v>2</v>
      </c>
      <c r="I1" s="8" t="s">
        <v>3</v>
      </c>
      <c r="J1" s="9" t="s">
        <v>8</v>
      </c>
      <c r="K1" s="10" t="s">
        <v>9</v>
      </c>
      <c r="L1" s="3"/>
      <c r="M1" s="3"/>
    </row>
    <row r="2" spans="1:13" x14ac:dyDescent="0.35">
      <c r="A2" t="s">
        <v>16</v>
      </c>
      <c r="B2" t="s">
        <v>17</v>
      </c>
      <c r="C2">
        <v>266797.94677649735</v>
      </c>
      <c r="D2">
        <v>128063.01445271872</v>
      </c>
      <c r="E2">
        <v>138734.93232377863</v>
      </c>
      <c r="F2">
        <v>29292.356174274195</v>
      </c>
      <c r="G2">
        <v>266797.94677649735</v>
      </c>
      <c r="H2">
        <v>0</v>
      </c>
      <c r="I2">
        <v>0</v>
      </c>
      <c r="K2">
        <v>0</v>
      </c>
    </row>
    <row r="3" spans="1:13" x14ac:dyDescent="0.35">
      <c r="A3" t="s">
        <v>18</v>
      </c>
      <c r="B3" t="s">
        <v>19</v>
      </c>
      <c r="C3">
        <v>149487.02095769369</v>
      </c>
      <c r="D3">
        <v>71753.770059692964</v>
      </c>
      <c r="E3">
        <v>77733.250898000726</v>
      </c>
      <c r="F3">
        <v>16412.521588826905</v>
      </c>
      <c r="G3">
        <v>149487.02095769369</v>
      </c>
      <c r="H3">
        <v>0</v>
      </c>
      <c r="I3">
        <v>0</v>
      </c>
      <c r="K3">
        <v>0</v>
      </c>
    </row>
    <row r="4" spans="1:13" x14ac:dyDescent="0.35">
      <c r="A4" t="s">
        <v>20</v>
      </c>
      <c r="B4" t="s">
        <v>21</v>
      </c>
      <c r="C4">
        <v>308751.68814902887</v>
      </c>
      <c r="D4">
        <v>148200.81031153386</v>
      </c>
      <c r="E4">
        <v>160550.87783749501</v>
      </c>
      <c r="F4">
        <v>33898.553298261329</v>
      </c>
      <c r="G4">
        <v>308751.68814902887</v>
      </c>
      <c r="H4">
        <v>0</v>
      </c>
      <c r="I4">
        <v>0</v>
      </c>
      <c r="K4">
        <v>0</v>
      </c>
    </row>
    <row r="5" spans="1:13" x14ac:dyDescent="0.35">
      <c r="A5" t="s">
        <v>22</v>
      </c>
      <c r="B5" t="s">
        <v>23</v>
      </c>
      <c r="C5">
        <v>133839.76678105784</v>
      </c>
      <c r="D5">
        <v>64243.088054907763</v>
      </c>
      <c r="E5">
        <v>69596.678726150087</v>
      </c>
      <c r="F5">
        <v>14694.573800887658</v>
      </c>
      <c r="G5">
        <v>133839.76678105784</v>
      </c>
      <c r="H5">
        <v>0</v>
      </c>
      <c r="I5">
        <v>0</v>
      </c>
      <c r="K5">
        <v>0</v>
      </c>
    </row>
    <row r="6" spans="1:13" x14ac:dyDescent="0.35">
      <c r="A6" t="s">
        <v>24</v>
      </c>
      <c r="B6" t="s">
        <v>25</v>
      </c>
      <c r="C6">
        <v>128183.86084470051</v>
      </c>
      <c r="D6">
        <v>61528.25320545624</v>
      </c>
      <c r="E6">
        <v>66655.607639244263</v>
      </c>
      <c r="F6">
        <v>14073.59896514516</v>
      </c>
      <c r="G6">
        <v>118524.09284470051</v>
      </c>
      <c r="H6">
        <v>264.54499999999996</v>
      </c>
      <c r="I6">
        <v>9395.223</v>
      </c>
      <c r="K6">
        <v>0</v>
      </c>
    </row>
    <row r="7" spans="1:13" x14ac:dyDescent="0.35">
      <c r="A7" t="s">
        <v>26</v>
      </c>
      <c r="B7" t="s">
        <v>27</v>
      </c>
      <c r="C7">
        <v>46942.007153019251</v>
      </c>
      <c r="D7">
        <v>22532.163433449241</v>
      </c>
      <c r="E7">
        <v>24409.84371957001</v>
      </c>
      <c r="F7">
        <v>5153.870221548108</v>
      </c>
      <c r="G7">
        <v>45307.557153019254</v>
      </c>
      <c r="H7">
        <v>12.131999999999998</v>
      </c>
      <c r="I7">
        <v>1622.3179999999998</v>
      </c>
      <c r="K7">
        <v>0</v>
      </c>
    </row>
    <row r="8" spans="1:13" x14ac:dyDescent="0.35">
      <c r="A8" t="s">
        <v>28</v>
      </c>
      <c r="B8" t="s">
        <v>29</v>
      </c>
      <c r="C8">
        <v>238181.0044312879</v>
      </c>
      <c r="D8">
        <v>114326.88212701819</v>
      </c>
      <c r="E8">
        <v>123854.12230426971</v>
      </c>
      <c r="F8">
        <v>26150.436688301641</v>
      </c>
      <c r="G8">
        <v>238181.0044312879</v>
      </c>
      <c r="H8">
        <v>0</v>
      </c>
      <c r="I8">
        <v>0</v>
      </c>
      <c r="K8">
        <v>0</v>
      </c>
    </row>
    <row r="9" spans="1:13" x14ac:dyDescent="0.35">
      <c r="A9" t="s">
        <v>30</v>
      </c>
      <c r="B9" t="s">
        <v>31</v>
      </c>
      <c r="C9">
        <v>205594.57828999549</v>
      </c>
      <c r="D9">
        <v>98685.39757919783</v>
      </c>
      <c r="E9">
        <v>106909.18071079766</v>
      </c>
      <c r="F9">
        <v>22572.698506616718</v>
      </c>
      <c r="G9">
        <v>205594.57828999549</v>
      </c>
      <c r="H9">
        <v>0</v>
      </c>
      <c r="I9">
        <v>0</v>
      </c>
      <c r="K9">
        <v>0</v>
      </c>
    </row>
    <row r="10" spans="1:13" x14ac:dyDescent="0.35">
      <c r="A10" t="s">
        <v>32</v>
      </c>
      <c r="B10" t="s">
        <v>33</v>
      </c>
      <c r="C10">
        <v>175942.95612020031</v>
      </c>
      <c r="D10">
        <v>84452.618937696141</v>
      </c>
      <c r="E10">
        <v>91490.337182504169</v>
      </c>
      <c r="F10">
        <v>19317.179158597664</v>
      </c>
      <c r="G10">
        <v>175942.95612020031</v>
      </c>
      <c r="H10">
        <v>0</v>
      </c>
      <c r="I10">
        <v>0</v>
      </c>
      <c r="K10">
        <v>0</v>
      </c>
    </row>
    <row r="11" spans="1:13" x14ac:dyDescent="0.35">
      <c r="A11" t="s">
        <v>34</v>
      </c>
      <c r="B11" t="s">
        <v>35</v>
      </c>
      <c r="C11">
        <v>103072.23174559223</v>
      </c>
      <c r="D11">
        <v>49474.671237884271</v>
      </c>
      <c r="E11">
        <v>53597.56050770796</v>
      </c>
      <c r="F11">
        <v>11316.535829634757</v>
      </c>
      <c r="G11">
        <v>103072.23174559223</v>
      </c>
      <c r="H11">
        <v>0</v>
      </c>
      <c r="I11">
        <v>0</v>
      </c>
      <c r="K11">
        <v>0</v>
      </c>
    </row>
    <row r="12" spans="1:13" x14ac:dyDescent="0.35">
      <c r="A12" t="s">
        <v>36</v>
      </c>
      <c r="B12" t="s">
        <v>37</v>
      </c>
      <c r="C12">
        <v>229591.65178582186</v>
      </c>
      <c r="D12">
        <v>110203.99285719449</v>
      </c>
      <c r="E12">
        <v>119387.65892862737</v>
      </c>
      <c r="F12">
        <v>25207.392035832076</v>
      </c>
      <c r="G12">
        <v>229591.65178582186</v>
      </c>
      <c r="H12">
        <v>0</v>
      </c>
      <c r="I12">
        <v>0</v>
      </c>
      <c r="K12">
        <v>0</v>
      </c>
    </row>
    <row r="13" spans="1:13" x14ac:dyDescent="0.35">
      <c r="A13" t="s">
        <v>38</v>
      </c>
      <c r="B13" t="s">
        <v>39</v>
      </c>
      <c r="C13">
        <v>86898.093845618161</v>
      </c>
      <c r="D13">
        <v>41711.085045896718</v>
      </c>
      <c r="E13">
        <v>45187.008799721443</v>
      </c>
      <c r="F13">
        <v>9540.7402738512537</v>
      </c>
      <c r="G13">
        <v>83209.628845618165</v>
      </c>
      <c r="H13">
        <v>206.58099999999999</v>
      </c>
      <c r="I13">
        <v>3481.8839999999996</v>
      </c>
      <c r="K13">
        <v>0</v>
      </c>
    </row>
    <row r="14" spans="1:13" x14ac:dyDescent="0.35">
      <c r="A14" t="s">
        <v>40</v>
      </c>
      <c r="B14" t="s">
        <v>41</v>
      </c>
      <c r="C14">
        <v>117763.79454387998</v>
      </c>
      <c r="D14">
        <v>56526.621381062389</v>
      </c>
      <c r="E14">
        <v>61237.173162817591</v>
      </c>
      <c r="F14">
        <v>12929.55607751798</v>
      </c>
      <c r="G14">
        <v>117099.90454387998</v>
      </c>
      <c r="H14">
        <v>0</v>
      </c>
      <c r="I14">
        <v>663.89</v>
      </c>
      <c r="K14">
        <v>0</v>
      </c>
    </row>
    <row r="15" spans="1:13" x14ac:dyDescent="0.35">
      <c r="A15" t="s">
        <v>42</v>
      </c>
      <c r="B15" t="s">
        <v>43</v>
      </c>
      <c r="C15">
        <v>72362.569766604705</v>
      </c>
      <c r="D15">
        <v>34734.033487970257</v>
      </c>
      <c r="E15">
        <v>37628.536278634449</v>
      </c>
      <c r="F15">
        <v>7944.8518734847903</v>
      </c>
      <c r="G15">
        <v>72362.569766604705</v>
      </c>
      <c r="H15">
        <v>0</v>
      </c>
      <c r="I15">
        <v>0</v>
      </c>
      <c r="K15">
        <v>0</v>
      </c>
    </row>
    <row r="16" spans="1:13" x14ac:dyDescent="0.35">
      <c r="A16" t="s">
        <v>44</v>
      </c>
      <c r="B16" t="s">
        <v>45</v>
      </c>
      <c r="C16">
        <v>77483.056071436833</v>
      </c>
      <c r="D16">
        <v>37191.866914289676</v>
      </c>
      <c r="E16">
        <v>40291.189157147157</v>
      </c>
      <c r="F16">
        <v>8507.0417645197722</v>
      </c>
      <c r="G16">
        <v>75840.181071436833</v>
      </c>
      <c r="H16">
        <v>535.82999999999993</v>
      </c>
      <c r="I16">
        <v>1107.0449999999998</v>
      </c>
      <c r="K16">
        <v>0</v>
      </c>
    </row>
    <row r="17" spans="1:11" x14ac:dyDescent="0.35">
      <c r="A17" t="s">
        <v>46</v>
      </c>
      <c r="B17" t="s">
        <v>47</v>
      </c>
      <c r="C17">
        <v>101567.01615227672</v>
      </c>
      <c r="D17">
        <v>48752.167753092821</v>
      </c>
      <c r="E17">
        <v>52814.848399183895</v>
      </c>
      <c r="F17">
        <v>11151.274770428008</v>
      </c>
      <c r="G17">
        <v>101553.19915227672</v>
      </c>
      <c r="H17">
        <v>0</v>
      </c>
      <c r="I17">
        <v>13.816999999999998</v>
      </c>
      <c r="K17">
        <v>0</v>
      </c>
    </row>
    <row r="18" spans="1:11" x14ac:dyDescent="0.35">
      <c r="A18" t="s">
        <v>48</v>
      </c>
      <c r="B18" t="s">
        <v>49</v>
      </c>
      <c r="C18">
        <v>90764.036150727814</v>
      </c>
      <c r="D18">
        <v>43566.737352349352</v>
      </c>
      <c r="E18">
        <v>47197.298798378462</v>
      </c>
      <c r="F18">
        <v>9965.1909126911851</v>
      </c>
      <c r="G18">
        <v>89616.888150727813</v>
      </c>
      <c r="H18">
        <v>57.289999999999992</v>
      </c>
      <c r="I18">
        <v>1089.8579999999999</v>
      </c>
      <c r="K18">
        <v>0</v>
      </c>
    </row>
    <row r="19" spans="1:11" x14ac:dyDescent="0.35">
      <c r="A19" t="s">
        <v>50</v>
      </c>
      <c r="B19" t="s">
        <v>51</v>
      </c>
      <c r="C19">
        <v>102633.67818617594</v>
      </c>
      <c r="D19">
        <v>49264.165529364451</v>
      </c>
      <c r="E19">
        <v>53369.512656811487</v>
      </c>
      <c r="F19">
        <v>11268.386032310118</v>
      </c>
      <c r="G19">
        <v>95538.817186175933</v>
      </c>
      <c r="H19">
        <v>3009.41</v>
      </c>
      <c r="I19">
        <v>4085.4509999999996</v>
      </c>
      <c r="K19">
        <v>0</v>
      </c>
    </row>
    <row r="20" spans="1:11" x14ac:dyDescent="0.35">
      <c r="A20" t="s">
        <v>52</v>
      </c>
      <c r="B20" t="s">
        <v>53</v>
      </c>
      <c r="C20">
        <v>114568.63959539132</v>
      </c>
      <c r="D20">
        <v>54992.947005787828</v>
      </c>
      <c r="E20">
        <v>59575.692589603488</v>
      </c>
      <c r="F20">
        <v>12578.752715221004</v>
      </c>
      <c r="G20">
        <v>114568.63959539132</v>
      </c>
      <c r="H20">
        <v>0</v>
      </c>
      <c r="I20">
        <v>0</v>
      </c>
      <c r="K20">
        <v>0</v>
      </c>
    </row>
    <row r="21" spans="1:11" x14ac:dyDescent="0.35">
      <c r="A21" t="s">
        <v>54</v>
      </c>
      <c r="B21" t="s">
        <v>55</v>
      </c>
      <c r="C21">
        <v>64474.579386242971</v>
      </c>
      <c r="D21">
        <v>30947.798105396625</v>
      </c>
      <c r="E21">
        <v>33526.78128084635</v>
      </c>
      <c r="F21">
        <v>7078.8113866201484</v>
      </c>
      <c r="G21">
        <v>64474.579386242971</v>
      </c>
      <c r="H21">
        <v>0</v>
      </c>
      <c r="I21">
        <v>0</v>
      </c>
      <c r="K21">
        <v>0</v>
      </c>
    </row>
    <row r="22" spans="1:11" x14ac:dyDescent="0.35">
      <c r="A22" t="s">
        <v>56</v>
      </c>
      <c r="B22" t="s">
        <v>57</v>
      </c>
      <c r="C22">
        <v>59369.414407254146</v>
      </c>
      <c r="D22">
        <v>28497.318915481988</v>
      </c>
      <c r="E22">
        <v>30872.095491772157</v>
      </c>
      <c r="F22">
        <v>6518.3036589566864</v>
      </c>
      <c r="G22">
        <v>50180.098407254147</v>
      </c>
      <c r="H22">
        <v>88.293999999999997</v>
      </c>
      <c r="I22">
        <v>9101.021999999999</v>
      </c>
      <c r="K22">
        <v>0</v>
      </c>
    </row>
    <row r="23" spans="1:11" x14ac:dyDescent="0.35">
      <c r="A23" t="s">
        <v>58</v>
      </c>
      <c r="B23" t="s">
        <v>59</v>
      </c>
      <c r="C23">
        <v>58239.592180338106</v>
      </c>
      <c r="D23">
        <v>27955.00424656229</v>
      </c>
      <c r="E23">
        <v>30284.587933775816</v>
      </c>
      <c r="F23">
        <v>6394.2578951706528</v>
      </c>
      <c r="G23">
        <v>58239.592180338106</v>
      </c>
      <c r="H23">
        <v>0</v>
      </c>
      <c r="I23">
        <v>0</v>
      </c>
      <c r="K23">
        <v>0</v>
      </c>
    </row>
    <row r="24" spans="1:11" x14ac:dyDescent="0.35">
      <c r="A24" t="s">
        <v>60</v>
      </c>
      <c r="B24" t="s">
        <v>61</v>
      </c>
      <c r="C24">
        <v>52957.86299160483</v>
      </c>
      <c r="D24">
        <v>25419.774235970319</v>
      </c>
      <c r="E24">
        <v>27538.088755634511</v>
      </c>
      <c r="F24">
        <v>5814.3647794937051</v>
      </c>
      <c r="G24">
        <v>52957.86299160483</v>
      </c>
      <c r="H24">
        <v>0</v>
      </c>
      <c r="I24">
        <v>0</v>
      </c>
      <c r="K24">
        <v>0</v>
      </c>
    </row>
    <row r="25" spans="1:11" x14ac:dyDescent="0.35">
      <c r="A25" t="s">
        <v>62</v>
      </c>
      <c r="B25" t="s">
        <v>63</v>
      </c>
      <c r="C25">
        <v>69585.235144781371</v>
      </c>
      <c r="D25">
        <v>33400.912869495056</v>
      </c>
      <c r="E25">
        <v>36184.322275286315</v>
      </c>
      <c r="F25">
        <v>7639.9219595160557</v>
      </c>
      <c r="G25">
        <v>69585.235144781371</v>
      </c>
      <c r="H25">
        <v>0</v>
      </c>
      <c r="I25">
        <v>0</v>
      </c>
      <c r="K25">
        <v>0</v>
      </c>
    </row>
    <row r="26" spans="1:11" x14ac:dyDescent="0.35">
      <c r="A26" t="s">
        <v>64</v>
      </c>
      <c r="B26" t="s">
        <v>65</v>
      </c>
      <c r="C26">
        <v>68992.488366496385</v>
      </c>
      <c r="D26">
        <v>33116.394415918265</v>
      </c>
      <c r="E26">
        <v>35876.093950578121</v>
      </c>
      <c r="F26">
        <v>7574.8429363809082</v>
      </c>
      <c r="G26">
        <v>68992.488366496385</v>
      </c>
      <c r="H26">
        <v>0</v>
      </c>
      <c r="I26">
        <v>0</v>
      </c>
      <c r="K26">
        <v>0</v>
      </c>
    </row>
    <row r="27" spans="1:11" x14ac:dyDescent="0.35">
      <c r="A27" t="s">
        <v>66</v>
      </c>
      <c r="B27" t="s">
        <v>67</v>
      </c>
      <c r="C27">
        <v>47556.822888184644</v>
      </c>
      <c r="D27">
        <v>22827.27498632863</v>
      </c>
      <c r="E27">
        <v>24729.547901856015</v>
      </c>
      <c r="F27">
        <v>5221.3722458837738</v>
      </c>
      <c r="G27">
        <v>47556.822888184644</v>
      </c>
      <c r="H27">
        <v>0</v>
      </c>
      <c r="I27">
        <v>0</v>
      </c>
      <c r="K27">
        <v>0</v>
      </c>
    </row>
    <row r="28" spans="1:11" x14ac:dyDescent="0.35">
      <c r="A28" t="s">
        <v>68</v>
      </c>
      <c r="B28" t="s">
        <v>69</v>
      </c>
      <c r="C28">
        <v>34932.39538600661</v>
      </c>
      <c r="D28">
        <v>16767.549785283172</v>
      </c>
      <c r="E28">
        <v>18164.845600723438</v>
      </c>
      <c r="F28">
        <v>3835.3075052885597</v>
      </c>
      <c r="G28">
        <v>34932.39538600661</v>
      </c>
      <c r="H28">
        <v>0</v>
      </c>
      <c r="I28">
        <v>0</v>
      </c>
      <c r="K28">
        <v>0</v>
      </c>
    </row>
    <row r="29" spans="1:11" x14ac:dyDescent="0.35">
      <c r="A29" t="s">
        <v>70</v>
      </c>
      <c r="B29" t="s">
        <v>71</v>
      </c>
      <c r="C29">
        <v>29839.46937344013</v>
      </c>
      <c r="D29">
        <v>14322.945299251262</v>
      </c>
      <c r="E29">
        <v>15516.524074188868</v>
      </c>
      <c r="F29">
        <v>3276.1435217130115</v>
      </c>
      <c r="G29">
        <v>29839.46937344013</v>
      </c>
      <c r="H29">
        <v>0</v>
      </c>
      <c r="I29">
        <v>0</v>
      </c>
      <c r="K29">
        <v>0</v>
      </c>
    </row>
    <row r="30" spans="1:11" x14ac:dyDescent="0.35">
      <c r="A30" t="s">
        <v>72</v>
      </c>
      <c r="B30" t="s">
        <v>73</v>
      </c>
      <c r="C30">
        <v>55574.770208155351</v>
      </c>
      <c r="D30">
        <v>26675.889699914569</v>
      </c>
      <c r="E30">
        <v>28898.880508240782</v>
      </c>
      <c r="F30">
        <v>6101.6810020823386</v>
      </c>
      <c r="G30">
        <v>55574.770208155351</v>
      </c>
      <c r="H30">
        <v>0</v>
      </c>
      <c r="I30">
        <v>0</v>
      </c>
      <c r="K30">
        <v>0</v>
      </c>
    </row>
    <row r="31" spans="1:11" x14ac:dyDescent="0.35">
      <c r="A31" t="s">
        <v>74</v>
      </c>
      <c r="B31" t="s">
        <v>75</v>
      </c>
      <c r="C31">
        <v>55567.154617856184</v>
      </c>
      <c r="D31">
        <v>26672.234216570967</v>
      </c>
      <c r="E31">
        <v>28894.920401285217</v>
      </c>
      <c r="F31">
        <v>6100.844869022786</v>
      </c>
      <c r="G31">
        <v>55567.154617856184</v>
      </c>
      <c r="H31">
        <v>0</v>
      </c>
      <c r="I31">
        <v>0</v>
      </c>
      <c r="K31">
        <v>0</v>
      </c>
    </row>
    <row r="32" spans="1:11" x14ac:dyDescent="0.35">
      <c r="A32" t="s">
        <v>76</v>
      </c>
      <c r="B32" t="s">
        <v>77</v>
      </c>
      <c r="C32">
        <v>28210.050365681323</v>
      </c>
      <c r="D32">
        <v>13540.824175527036</v>
      </c>
      <c r="E32">
        <v>14669.226190154288</v>
      </c>
      <c r="F32">
        <v>3097.2458858463174</v>
      </c>
      <c r="G32">
        <v>28210.050365681323</v>
      </c>
      <c r="H32">
        <v>0</v>
      </c>
      <c r="I32">
        <v>0</v>
      </c>
      <c r="K32">
        <v>0</v>
      </c>
    </row>
    <row r="33" spans="1:11" x14ac:dyDescent="0.35">
      <c r="A33" t="s">
        <v>78</v>
      </c>
      <c r="B33" t="s">
        <v>79</v>
      </c>
      <c r="C33">
        <v>80141.478391016411</v>
      </c>
      <c r="D33">
        <v>38467.909627687877</v>
      </c>
      <c r="E33">
        <v>41673.568763328534</v>
      </c>
      <c r="F33">
        <v>8798.9160251264311</v>
      </c>
      <c r="G33">
        <v>80141.478391016411</v>
      </c>
      <c r="H33">
        <v>0</v>
      </c>
      <c r="I33">
        <v>0</v>
      </c>
      <c r="K33">
        <v>0</v>
      </c>
    </row>
    <row r="34" spans="1:11" x14ac:dyDescent="0.35">
      <c r="A34" t="s">
        <v>80</v>
      </c>
      <c r="B34" t="s">
        <v>81</v>
      </c>
      <c r="C34">
        <v>60769.093743113037</v>
      </c>
      <c r="D34">
        <v>29169.164996694257</v>
      </c>
      <c r="E34">
        <v>31599.92874641878</v>
      </c>
      <c r="F34">
        <v>6671.9776513210163</v>
      </c>
      <c r="G34">
        <v>60769.093743113037</v>
      </c>
      <c r="H34">
        <v>0</v>
      </c>
      <c r="I34">
        <v>0</v>
      </c>
      <c r="K34">
        <v>0</v>
      </c>
    </row>
    <row r="35" spans="1:11" x14ac:dyDescent="0.35">
      <c r="A35" t="s">
        <v>82</v>
      </c>
      <c r="B35" t="s">
        <v>83</v>
      </c>
      <c r="C35">
        <v>54318.524400262664</v>
      </c>
      <c r="D35">
        <v>26072.891712126078</v>
      </c>
      <c r="E35">
        <v>28245.632688136586</v>
      </c>
      <c r="F35">
        <v>5963.754904479878</v>
      </c>
      <c r="G35">
        <v>54318.524400262664</v>
      </c>
      <c r="H35">
        <v>0</v>
      </c>
      <c r="I35">
        <v>0</v>
      </c>
      <c r="K35">
        <v>0</v>
      </c>
    </row>
    <row r="36" spans="1:11" x14ac:dyDescent="0.35">
      <c r="A36" t="s">
        <v>84</v>
      </c>
      <c r="B36" t="s">
        <v>85</v>
      </c>
      <c r="C36">
        <v>20721.216245057243</v>
      </c>
      <c r="D36">
        <v>9946.1837976274765</v>
      </c>
      <c r="E36">
        <v>10775.032447429767</v>
      </c>
      <c r="F36">
        <v>2275.0296767570271</v>
      </c>
      <c r="G36">
        <v>9934.5202450572469</v>
      </c>
      <c r="H36">
        <v>2203.9799999999996</v>
      </c>
      <c r="I36">
        <v>8582.7159999999985</v>
      </c>
      <c r="K36">
        <v>0</v>
      </c>
    </row>
    <row r="37" spans="1:11" x14ac:dyDescent="0.35">
      <c r="A37" t="s">
        <v>86</v>
      </c>
      <c r="B37" t="s">
        <v>87</v>
      </c>
      <c r="C37">
        <v>83041.471346287974</v>
      </c>
      <c r="D37">
        <v>39859.906246218226</v>
      </c>
      <c r="E37">
        <v>43181.565100069747</v>
      </c>
      <c r="F37">
        <v>9117.3128777823604</v>
      </c>
      <c r="G37">
        <v>68218.863346287981</v>
      </c>
      <c r="H37">
        <v>3332.93</v>
      </c>
      <c r="I37">
        <v>312.39899999999994</v>
      </c>
      <c r="K37">
        <v>11177.278999999999</v>
      </c>
    </row>
    <row r="38" spans="1:11" x14ac:dyDescent="0.35">
      <c r="A38" t="s">
        <v>88</v>
      </c>
      <c r="B38" t="s">
        <v>89</v>
      </c>
      <c r="C38">
        <v>57620.129335829188</v>
      </c>
      <c r="D38">
        <v>27657.66208119801</v>
      </c>
      <c r="E38">
        <v>29962.467254631178</v>
      </c>
      <c r="F38">
        <v>6326.2456540821368</v>
      </c>
      <c r="G38">
        <v>51331.03533582919</v>
      </c>
      <c r="H38">
        <v>3081.1909999999998</v>
      </c>
      <c r="I38">
        <v>2545.6979999999999</v>
      </c>
      <c r="K38">
        <v>662.20499999999993</v>
      </c>
    </row>
    <row r="39" spans="1:11" x14ac:dyDescent="0.35">
      <c r="A39" t="s">
        <v>90</v>
      </c>
      <c r="B39" t="s">
        <v>91</v>
      </c>
      <c r="C39">
        <v>54942.308736572711</v>
      </c>
      <c r="D39">
        <v>26372.308193554902</v>
      </c>
      <c r="E39">
        <v>28570.00054301781</v>
      </c>
      <c r="F39">
        <v>6032.241612027271</v>
      </c>
      <c r="G39">
        <v>25292.37473657271</v>
      </c>
      <c r="H39">
        <v>13779.929999999998</v>
      </c>
      <c r="I39">
        <v>14760.599999999999</v>
      </c>
      <c r="K39">
        <v>1109.404</v>
      </c>
    </row>
    <row r="40" spans="1:11" x14ac:dyDescent="0.35">
      <c r="A40" t="s">
        <v>92</v>
      </c>
      <c r="B40" t="s">
        <v>93</v>
      </c>
      <c r="C40">
        <v>29440.06017187277</v>
      </c>
      <c r="D40">
        <v>14131.22888249893</v>
      </c>
      <c r="E40">
        <v>15308.83128937384</v>
      </c>
      <c r="F40">
        <v>3232.2914728762394</v>
      </c>
      <c r="G40">
        <v>23744.423171872771</v>
      </c>
      <c r="H40">
        <v>5695.6369999999997</v>
      </c>
      <c r="I40">
        <v>0</v>
      </c>
      <c r="K40">
        <v>0</v>
      </c>
    </row>
    <row r="41" spans="1:11" x14ac:dyDescent="0.35">
      <c r="A41" t="s">
        <v>94</v>
      </c>
      <c r="B41" t="s">
        <v>95</v>
      </c>
      <c r="C41">
        <v>40934.394091483133</v>
      </c>
      <c r="D41">
        <v>19648.509163911902</v>
      </c>
      <c r="E41">
        <v>21285.884927571231</v>
      </c>
      <c r="F41">
        <v>4494.2806569284157</v>
      </c>
      <c r="G41">
        <v>32545.453091483138</v>
      </c>
      <c r="H41">
        <v>4606.116</v>
      </c>
      <c r="I41">
        <v>2261.607</v>
      </c>
      <c r="K41">
        <v>1521.2179999999998</v>
      </c>
    </row>
    <row r="42" spans="1:11" x14ac:dyDescent="0.35">
      <c r="A42" t="s">
        <v>96</v>
      </c>
      <c r="B42" t="s">
        <v>97</v>
      </c>
      <c r="C42">
        <v>14016.503999999999</v>
      </c>
      <c r="D42">
        <v>6727.9219199999989</v>
      </c>
      <c r="E42">
        <v>7288.5820800000001</v>
      </c>
      <c r="F42">
        <v>1538.8888586470925</v>
      </c>
      <c r="G42">
        <v>0</v>
      </c>
      <c r="H42">
        <v>1378.33</v>
      </c>
      <c r="I42">
        <v>12638.173999999999</v>
      </c>
      <c r="K42">
        <v>0</v>
      </c>
    </row>
    <row r="43" spans="1:11" x14ac:dyDescent="0.35">
      <c r="A43" t="s">
        <v>98</v>
      </c>
      <c r="B43" t="s">
        <v>99</v>
      </c>
      <c r="C43">
        <v>29908.678735865604</v>
      </c>
      <c r="D43">
        <v>14356.165793215489</v>
      </c>
      <c r="E43">
        <v>15552.512942650115</v>
      </c>
      <c r="F43">
        <v>3283.7421757478555</v>
      </c>
      <c r="G43">
        <v>29416.658735865603</v>
      </c>
      <c r="H43">
        <v>163.78199999999998</v>
      </c>
      <c r="I43">
        <v>47.179999999999993</v>
      </c>
      <c r="K43">
        <v>281.05799999999999</v>
      </c>
    </row>
    <row r="44" spans="1:11" x14ac:dyDescent="0.35">
      <c r="A44" t="s">
        <v>100</v>
      </c>
      <c r="B44" t="s">
        <v>101</v>
      </c>
      <c r="C44">
        <v>41129.366295885462</v>
      </c>
      <c r="D44">
        <v>19742.095822025021</v>
      </c>
      <c r="E44">
        <v>21387.270473860441</v>
      </c>
      <c r="F44">
        <v>4515.6871007351992</v>
      </c>
      <c r="G44">
        <v>18077.218295885461</v>
      </c>
      <c r="H44">
        <v>10073.267</v>
      </c>
      <c r="I44">
        <v>12978.880999999999</v>
      </c>
      <c r="K44">
        <v>0</v>
      </c>
    </row>
    <row r="45" spans="1:11" x14ac:dyDescent="0.35">
      <c r="A45" t="s">
        <v>102</v>
      </c>
      <c r="B45" t="s">
        <v>103</v>
      </c>
      <c r="C45">
        <v>45849.441404367761</v>
      </c>
      <c r="D45">
        <v>22007.731874096524</v>
      </c>
      <c r="E45">
        <v>23841.709530271237</v>
      </c>
      <c r="F45">
        <v>5033.9149316368166</v>
      </c>
      <c r="G45">
        <v>41938.219404367759</v>
      </c>
      <c r="H45">
        <v>2950.0979999999995</v>
      </c>
      <c r="I45">
        <v>961.12399999999991</v>
      </c>
      <c r="K45">
        <v>0</v>
      </c>
    </row>
    <row r="46" spans="1:11" x14ac:dyDescent="0.35">
      <c r="A46" t="s">
        <v>104</v>
      </c>
      <c r="B46" t="s">
        <v>105</v>
      </c>
      <c r="C46">
        <v>47689.082806921084</v>
      </c>
      <c r="D46">
        <v>22890.759747322118</v>
      </c>
      <c r="E46">
        <v>24798.323059598966</v>
      </c>
      <c r="F46">
        <v>5235.8933645581019</v>
      </c>
      <c r="G46">
        <v>22582.919806921091</v>
      </c>
      <c r="H46">
        <v>3156.0049999999997</v>
      </c>
      <c r="I46">
        <v>4926.9399999999996</v>
      </c>
      <c r="K46">
        <v>17023.217999999997</v>
      </c>
    </row>
    <row r="47" spans="1:11" x14ac:dyDescent="0.35">
      <c r="A47" t="s">
        <v>106</v>
      </c>
      <c r="B47" t="s">
        <v>107</v>
      </c>
      <c r="C47">
        <v>38089.761999999995</v>
      </c>
      <c r="D47">
        <v>18283.085759999998</v>
      </c>
      <c r="E47">
        <v>19806.676239999997</v>
      </c>
      <c r="F47">
        <v>4181.9767950465684</v>
      </c>
      <c r="G47">
        <v>0</v>
      </c>
      <c r="H47">
        <v>9763.226999999999</v>
      </c>
      <c r="I47">
        <v>9236.4959999999992</v>
      </c>
      <c r="K47">
        <v>19090.038999999997</v>
      </c>
    </row>
    <row r="48" spans="1:11" x14ac:dyDescent="0.35">
      <c r="A48" t="s">
        <v>108</v>
      </c>
      <c r="B48" t="s">
        <v>109</v>
      </c>
      <c r="C48">
        <v>41613.120946046634</v>
      </c>
      <c r="D48">
        <v>19974.298054102383</v>
      </c>
      <c r="E48">
        <v>21638.822891944252</v>
      </c>
      <c r="F48">
        <v>4568.7996290911742</v>
      </c>
      <c r="G48">
        <v>34355.151946046637</v>
      </c>
      <c r="H48">
        <v>5858.070999999999</v>
      </c>
      <c r="I48">
        <v>1399.8979999999999</v>
      </c>
      <c r="K48">
        <v>0</v>
      </c>
    </row>
    <row r="49" spans="1:11" x14ac:dyDescent="0.35">
      <c r="A49" t="s">
        <v>110</v>
      </c>
      <c r="B49" t="s">
        <v>111</v>
      </c>
      <c r="C49">
        <v>17358.488336838116</v>
      </c>
      <c r="D49">
        <v>8332.0744016822955</v>
      </c>
      <c r="E49">
        <v>9026.4139351558206</v>
      </c>
      <c r="F49">
        <v>1905.8280963294076</v>
      </c>
      <c r="G49">
        <v>15985.213336838116</v>
      </c>
      <c r="H49">
        <v>469.77799999999996</v>
      </c>
      <c r="I49">
        <v>903.49699999999996</v>
      </c>
      <c r="K49">
        <v>0</v>
      </c>
    </row>
    <row r="50" spans="1:11" x14ac:dyDescent="0.35">
      <c r="A50" t="s">
        <v>112</v>
      </c>
      <c r="B50" t="s">
        <v>113</v>
      </c>
      <c r="C50">
        <v>42433.017999999996</v>
      </c>
      <c r="D50">
        <v>20367.848639999997</v>
      </c>
      <c r="E50">
        <v>22065.16936</v>
      </c>
      <c r="F50">
        <v>4658.8188962767954</v>
      </c>
      <c r="G50">
        <v>0</v>
      </c>
      <c r="H50">
        <v>18065.558999999997</v>
      </c>
      <c r="I50">
        <v>24367.458999999999</v>
      </c>
      <c r="K50">
        <v>0</v>
      </c>
    </row>
    <row r="51" spans="1:11" x14ac:dyDescent="0.35">
      <c r="A51" t="s">
        <v>114</v>
      </c>
      <c r="B51" t="s">
        <v>115</v>
      </c>
      <c r="C51">
        <v>36768.028671768516</v>
      </c>
      <c r="D51">
        <v>17648.653762448888</v>
      </c>
      <c r="E51">
        <v>19119.374909319627</v>
      </c>
      <c r="F51">
        <v>4036.8458779093035</v>
      </c>
      <c r="G51">
        <v>16236.303671768519</v>
      </c>
      <c r="H51">
        <v>16236.659999999998</v>
      </c>
      <c r="I51">
        <v>1438.9899999999998</v>
      </c>
      <c r="K51">
        <v>2856.0749999999998</v>
      </c>
    </row>
    <row r="52" spans="1:11" x14ac:dyDescent="0.35">
      <c r="A52" t="s">
        <v>116</v>
      </c>
      <c r="B52" t="s">
        <v>117</v>
      </c>
      <c r="C52">
        <v>27866.900497285504</v>
      </c>
      <c r="D52">
        <v>13376.112238697042</v>
      </c>
      <c r="E52">
        <v>14490.788258588462</v>
      </c>
      <c r="F52">
        <v>3059.5706777435125</v>
      </c>
      <c r="G52">
        <v>21154.534497285505</v>
      </c>
      <c r="H52">
        <v>5307.7499999999991</v>
      </c>
      <c r="I52">
        <v>1404.6159999999998</v>
      </c>
      <c r="K52">
        <v>0</v>
      </c>
    </row>
    <row r="53" spans="1:11" x14ac:dyDescent="0.35">
      <c r="A53" t="s">
        <v>118</v>
      </c>
      <c r="B53" t="s">
        <v>119</v>
      </c>
      <c r="C53">
        <v>41414.713128569383</v>
      </c>
      <c r="D53">
        <v>19879.062301713304</v>
      </c>
      <c r="E53">
        <v>21535.650826856079</v>
      </c>
      <c r="F53">
        <v>4547.0159814749768</v>
      </c>
      <c r="G53">
        <v>27945.160128569383</v>
      </c>
      <c r="H53">
        <v>1113.4479999999999</v>
      </c>
      <c r="I53">
        <v>12356.105</v>
      </c>
      <c r="K53">
        <v>0</v>
      </c>
    </row>
    <row r="54" spans="1:11" x14ac:dyDescent="0.35">
      <c r="A54" t="s">
        <v>120</v>
      </c>
      <c r="B54" t="s">
        <v>121</v>
      </c>
      <c r="C54">
        <v>43796.954763741072</v>
      </c>
      <c r="D54">
        <v>21022.538286595714</v>
      </c>
      <c r="E54">
        <v>22774.416477145358</v>
      </c>
      <c r="F54">
        <v>4808.5677337045099</v>
      </c>
      <c r="G54">
        <v>25042.567763741077</v>
      </c>
      <c r="H54">
        <v>2127.8179999999998</v>
      </c>
      <c r="I54">
        <v>1241.1709999999998</v>
      </c>
      <c r="K54">
        <v>15385.397999999999</v>
      </c>
    </row>
    <row r="55" spans="1:11" x14ac:dyDescent="0.35">
      <c r="A55" t="s">
        <v>122</v>
      </c>
      <c r="B55" t="s">
        <v>123</v>
      </c>
      <c r="C55">
        <v>61193.173427874157</v>
      </c>
      <c r="D55">
        <v>29372.723245379595</v>
      </c>
      <c r="E55">
        <v>31820.450182494562</v>
      </c>
      <c r="F55">
        <v>6718.5383288763915</v>
      </c>
      <c r="G55">
        <v>13800.526427874158</v>
      </c>
      <c r="H55">
        <v>6735.6189999999997</v>
      </c>
      <c r="I55">
        <v>40657.027999999998</v>
      </c>
      <c r="K55">
        <v>0</v>
      </c>
    </row>
    <row r="56" spans="1:11" x14ac:dyDescent="0.35">
      <c r="A56" t="s">
        <v>124</v>
      </c>
      <c r="B56" t="s">
        <v>125</v>
      </c>
      <c r="C56">
        <v>33669.299372485155</v>
      </c>
      <c r="D56">
        <v>16161.263698792874</v>
      </c>
      <c r="E56">
        <v>17508.03567369228</v>
      </c>
      <c r="F56">
        <v>3696.6293079583111</v>
      </c>
      <c r="G56">
        <v>10117.380372485159</v>
      </c>
      <c r="H56">
        <v>3964.4679999999994</v>
      </c>
      <c r="I56">
        <v>15375.961999999998</v>
      </c>
      <c r="K56">
        <v>4211.4889999999996</v>
      </c>
    </row>
    <row r="57" spans="1:11" x14ac:dyDescent="0.35">
      <c r="A57" t="s">
        <v>126</v>
      </c>
      <c r="B57" t="s">
        <v>127</v>
      </c>
      <c r="C57">
        <v>50864.628588470405</v>
      </c>
      <c r="D57">
        <v>24415.021722465794</v>
      </c>
      <c r="E57">
        <v>26449.606866004611</v>
      </c>
      <c r="F57">
        <v>5584.5437916124783</v>
      </c>
      <c r="G57">
        <v>30487.249588470408</v>
      </c>
      <c r="H57">
        <v>1848.1079999999997</v>
      </c>
      <c r="I57">
        <v>10.783999999999999</v>
      </c>
      <c r="K57">
        <v>18518.486999999997</v>
      </c>
    </row>
    <row r="58" spans="1:11" x14ac:dyDescent="0.35">
      <c r="A58" t="s">
        <v>128</v>
      </c>
      <c r="B58" t="s">
        <v>129</v>
      </c>
      <c r="C58">
        <v>49222.026105710451</v>
      </c>
      <c r="D58">
        <v>23626.572530741014</v>
      </c>
      <c r="E58">
        <v>25595.453574969437</v>
      </c>
      <c r="F58">
        <v>5404.1987119029282</v>
      </c>
      <c r="G58">
        <v>47223.616105710447</v>
      </c>
      <c r="H58">
        <v>805.43</v>
      </c>
      <c r="I58">
        <v>1192.9799999999998</v>
      </c>
      <c r="K58">
        <v>0</v>
      </c>
    </row>
    <row r="59" spans="1:11" x14ac:dyDescent="0.35">
      <c r="A59" t="s">
        <v>130</v>
      </c>
      <c r="B59" t="s">
        <v>131</v>
      </c>
      <c r="C59">
        <v>38553.919530339139</v>
      </c>
      <c r="D59">
        <v>18505.881374562785</v>
      </c>
      <c r="E59">
        <v>20048.038155776354</v>
      </c>
      <c r="F59">
        <v>4232.9229157939117</v>
      </c>
      <c r="G59">
        <v>37175.926530339137</v>
      </c>
      <c r="H59">
        <v>434.72999999999996</v>
      </c>
      <c r="I59">
        <v>943.26299999999992</v>
      </c>
      <c r="K59">
        <v>0</v>
      </c>
    </row>
    <row r="60" spans="1:11" x14ac:dyDescent="0.35">
      <c r="A60" t="s">
        <v>132</v>
      </c>
      <c r="B60" t="s">
        <v>133</v>
      </c>
      <c r="C60">
        <v>73082.346027526772</v>
      </c>
      <c r="D60">
        <v>35079.526093212851</v>
      </c>
      <c r="E60">
        <v>38002.81993431392</v>
      </c>
      <c r="F60">
        <v>8023.8777537640663</v>
      </c>
      <c r="G60">
        <v>48997.293027526764</v>
      </c>
      <c r="H60">
        <v>10083.039999999999</v>
      </c>
      <c r="I60">
        <v>14002.012999999999</v>
      </c>
      <c r="K60">
        <v>0</v>
      </c>
    </row>
    <row r="61" spans="1:11" x14ac:dyDescent="0.35">
      <c r="A61" t="s">
        <v>134</v>
      </c>
      <c r="B61" t="s">
        <v>135</v>
      </c>
      <c r="C61">
        <v>54299.615387470556</v>
      </c>
      <c r="D61">
        <v>26063.815385985865</v>
      </c>
      <c r="E61">
        <v>28235.800001484691</v>
      </c>
      <c r="F61">
        <v>5961.6788407608619</v>
      </c>
      <c r="G61">
        <v>52911.512387470553</v>
      </c>
      <c r="H61">
        <v>971.23399999999992</v>
      </c>
      <c r="I61">
        <v>0</v>
      </c>
      <c r="K61">
        <v>416.86899999999997</v>
      </c>
    </row>
    <row r="62" spans="1:11" x14ac:dyDescent="0.35">
      <c r="A62" t="s">
        <v>136</v>
      </c>
      <c r="B62" t="s">
        <v>137</v>
      </c>
      <c r="C62">
        <v>71233.410335271445</v>
      </c>
      <c r="D62">
        <v>34192.036960930294</v>
      </c>
      <c r="E62">
        <v>37041.37337434115</v>
      </c>
      <c r="F62">
        <v>7820.8788795401897</v>
      </c>
      <c r="G62">
        <v>63340.533335271452</v>
      </c>
      <c r="H62">
        <v>7892.8769999999995</v>
      </c>
      <c r="I62">
        <v>0</v>
      </c>
      <c r="K62">
        <v>0</v>
      </c>
    </row>
    <row r="63" spans="1:11" x14ac:dyDescent="0.35">
      <c r="A63" t="s">
        <v>138</v>
      </c>
      <c r="B63" t="s">
        <v>139</v>
      </c>
      <c r="C63">
        <v>65568.103688333824</v>
      </c>
      <c r="D63">
        <v>31472.689770400233</v>
      </c>
      <c r="E63">
        <v>34095.413917933591</v>
      </c>
      <c r="F63">
        <v>7198.8719183037138</v>
      </c>
      <c r="G63">
        <v>61578.697688333821</v>
      </c>
      <c r="H63">
        <v>2107.261</v>
      </c>
      <c r="I63">
        <v>782.85099999999989</v>
      </c>
      <c r="K63">
        <v>1099.2939999999999</v>
      </c>
    </row>
    <row r="64" spans="1:11" x14ac:dyDescent="0.35">
      <c r="A64" t="s">
        <v>140</v>
      </c>
      <c r="B64" t="s">
        <v>141</v>
      </c>
      <c r="C64">
        <v>56519.958990721425</v>
      </c>
      <c r="D64">
        <v>27129.580315546282</v>
      </c>
      <c r="E64">
        <v>29390.378675175143</v>
      </c>
      <c r="F64">
        <v>6205.455438150424</v>
      </c>
      <c r="G64">
        <v>56413.803990721426</v>
      </c>
      <c r="H64">
        <v>106.15499999999999</v>
      </c>
      <c r="I64">
        <v>0</v>
      </c>
      <c r="K64">
        <v>0</v>
      </c>
    </row>
    <row r="65" spans="1:11" x14ac:dyDescent="0.35">
      <c r="A65" t="s">
        <v>142</v>
      </c>
      <c r="B65" t="s">
        <v>143</v>
      </c>
      <c r="C65">
        <v>38253.500246381744</v>
      </c>
      <c r="D65">
        <v>18361.680118263237</v>
      </c>
      <c r="E65">
        <v>19891.820128118507</v>
      </c>
      <c r="F65">
        <v>4199.9391961902802</v>
      </c>
      <c r="G65">
        <v>38253.500246381744</v>
      </c>
      <c r="H65">
        <v>0</v>
      </c>
      <c r="I65">
        <v>0</v>
      </c>
      <c r="K65">
        <v>0</v>
      </c>
    </row>
    <row r="66" spans="1:11" x14ac:dyDescent="0.35">
      <c r="A66" t="s">
        <v>144</v>
      </c>
      <c r="B66" t="s">
        <v>145</v>
      </c>
      <c r="C66">
        <v>83274.675452572847</v>
      </c>
      <c r="D66">
        <v>39971.844217234968</v>
      </c>
      <c r="E66">
        <v>43302.831235337879</v>
      </c>
      <c r="F66">
        <v>9142.9168894516188</v>
      </c>
      <c r="G66">
        <v>81729.867452572842</v>
      </c>
      <c r="H66">
        <v>1368.5569999999998</v>
      </c>
      <c r="I66">
        <v>176.25099999999998</v>
      </c>
      <c r="K66">
        <v>0</v>
      </c>
    </row>
    <row r="67" spans="1:11" x14ac:dyDescent="0.35">
      <c r="A67" t="s">
        <v>146</v>
      </c>
      <c r="B67" t="s">
        <v>147</v>
      </c>
      <c r="C67">
        <v>202809.42148423573</v>
      </c>
      <c r="D67">
        <v>97348.522312433153</v>
      </c>
      <c r="E67">
        <v>105460.89917180258</v>
      </c>
      <c r="F67">
        <v>22266.909777200959</v>
      </c>
      <c r="G67">
        <v>192472.95748423573</v>
      </c>
      <c r="H67">
        <v>6308.976999999999</v>
      </c>
      <c r="I67">
        <v>4027.4869999999996</v>
      </c>
      <c r="K67">
        <v>0</v>
      </c>
    </row>
    <row r="68" spans="1:11" x14ac:dyDescent="0.35">
      <c r="A68" t="s">
        <v>148</v>
      </c>
      <c r="B68" t="s">
        <v>149</v>
      </c>
      <c r="C68">
        <v>142423.31646840426</v>
      </c>
      <c r="D68">
        <v>68363.191904834035</v>
      </c>
      <c r="E68">
        <v>74060.124563570222</v>
      </c>
      <c r="F68">
        <v>15636.981333326285</v>
      </c>
      <c r="G68">
        <v>121332.17146840427</v>
      </c>
      <c r="H68">
        <v>6932.0899999999992</v>
      </c>
      <c r="I68">
        <v>14159.054999999998</v>
      </c>
      <c r="K68">
        <v>0</v>
      </c>
    </row>
    <row r="69" spans="1:11" x14ac:dyDescent="0.35">
      <c r="A69" t="s">
        <v>150</v>
      </c>
      <c r="B69" t="s">
        <v>151</v>
      </c>
      <c r="C69">
        <v>207681.00104887557</v>
      </c>
      <c r="D69">
        <v>99686.88050346027</v>
      </c>
      <c r="E69">
        <v>107994.1205454153</v>
      </c>
      <c r="F69">
        <v>22801.77162851156</v>
      </c>
      <c r="G69">
        <v>172360.03104887556</v>
      </c>
      <c r="H69">
        <v>11754.896999999999</v>
      </c>
      <c r="I69">
        <v>23566.072999999997</v>
      </c>
      <c r="K69">
        <v>0</v>
      </c>
    </row>
    <row r="70" spans="1:11" x14ac:dyDescent="0.35">
      <c r="A70" t="s">
        <v>152</v>
      </c>
      <c r="B70" t="s">
        <v>153</v>
      </c>
      <c r="C70">
        <v>143655.40237708503</v>
      </c>
      <c r="D70">
        <v>68954.59314100082</v>
      </c>
      <c r="E70">
        <v>74700.809236084213</v>
      </c>
      <c r="F70">
        <v>15772.254860392126</v>
      </c>
      <c r="G70">
        <v>88757.091377085046</v>
      </c>
      <c r="H70">
        <v>9346.0209999999988</v>
      </c>
      <c r="I70">
        <v>45552.289999999994</v>
      </c>
      <c r="K70">
        <v>0</v>
      </c>
    </row>
    <row r="71" spans="1:11" x14ac:dyDescent="0.35">
      <c r="A71" t="s">
        <v>154</v>
      </c>
      <c r="B71" t="s">
        <v>155</v>
      </c>
      <c r="C71">
        <v>131475.00515198422</v>
      </c>
      <c r="D71">
        <v>63108.002472952423</v>
      </c>
      <c r="E71">
        <v>68367.002679031793</v>
      </c>
      <c r="F71">
        <v>14434.941218467111</v>
      </c>
      <c r="G71">
        <v>55044.75315198423</v>
      </c>
      <c r="H71">
        <v>22652.465999999997</v>
      </c>
      <c r="I71">
        <v>52152.434999999998</v>
      </c>
      <c r="K71">
        <v>1625.3509999999999</v>
      </c>
    </row>
    <row r="72" spans="1:11" x14ac:dyDescent="0.35">
      <c r="A72" t="s">
        <v>156</v>
      </c>
      <c r="B72" t="s">
        <v>157</v>
      </c>
      <c r="C72">
        <v>128032.96013585967</v>
      </c>
      <c r="D72">
        <v>61455.820865212641</v>
      </c>
      <c r="E72">
        <v>66577.139270647036</v>
      </c>
      <c r="F72">
        <v>14057.031231533556</v>
      </c>
      <c r="G72">
        <v>58284.744135859692</v>
      </c>
      <c r="H72">
        <v>9858.5979999999981</v>
      </c>
      <c r="I72">
        <v>40196.685999999994</v>
      </c>
      <c r="K72">
        <v>19692.931999999997</v>
      </c>
    </row>
    <row r="73" spans="1:11" x14ac:dyDescent="0.35">
      <c r="A73" t="s">
        <v>158</v>
      </c>
      <c r="B73" t="s">
        <v>159</v>
      </c>
      <c r="C73">
        <v>58077.739777097449</v>
      </c>
      <c r="D73">
        <v>27877.315093006775</v>
      </c>
      <c r="E73">
        <v>30200.424684090674</v>
      </c>
      <c r="F73">
        <v>6376.4877500077318</v>
      </c>
      <c r="G73">
        <v>39123.511777097454</v>
      </c>
      <c r="H73">
        <v>5063.4249999999993</v>
      </c>
      <c r="I73">
        <v>13890.802999999998</v>
      </c>
      <c r="K73">
        <v>0</v>
      </c>
    </row>
    <row r="74" spans="1:11" x14ac:dyDescent="0.35">
      <c r="A74" t="s">
        <v>160</v>
      </c>
      <c r="B74" t="s">
        <v>161</v>
      </c>
      <c r="C74">
        <v>32582.189393086788</v>
      </c>
      <c r="D74">
        <v>15639.450908681658</v>
      </c>
      <c r="E74">
        <v>16942.73848440513</v>
      </c>
      <c r="F74">
        <v>3577.2730194190244</v>
      </c>
      <c r="G74">
        <v>23507.116393086788</v>
      </c>
      <c r="H74">
        <v>5641.0429999999997</v>
      </c>
      <c r="I74">
        <v>3434.0299999999997</v>
      </c>
      <c r="K74">
        <v>0</v>
      </c>
    </row>
    <row r="75" spans="1:11" x14ac:dyDescent="0.35">
      <c r="A75" t="s">
        <v>162</v>
      </c>
      <c r="B75" t="s">
        <v>163</v>
      </c>
      <c r="C75">
        <v>46705.108014331199</v>
      </c>
      <c r="D75">
        <v>22418.451846878976</v>
      </c>
      <c r="E75">
        <v>24286.656167452224</v>
      </c>
      <c r="F75">
        <v>5127.8605238286482</v>
      </c>
      <c r="G75">
        <v>13997.910014331204</v>
      </c>
      <c r="H75">
        <v>17217.329999999998</v>
      </c>
      <c r="I75">
        <v>9678.64</v>
      </c>
      <c r="K75">
        <v>5811.2279999999992</v>
      </c>
    </row>
    <row r="76" spans="1:11" x14ac:dyDescent="0.35">
      <c r="A76" t="s">
        <v>164</v>
      </c>
      <c r="B76" t="s">
        <v>165</v>
      </c>
      <c r="C76">
        <v>51617.110824180614</v>
      </c>
      <c r="D76">
        <v>24776.213195606695</v>
      </c>
      <c r="E76">
        <v>26840.897628573919</v>
      </c>
      <c r="F76">
        <v>5667.1605355925303</v>
      </c>
      <c r="G76">
        <v>36541.078824180615</v>
      </c>
      <c r="H76">
        <v>3004.6919999999996</v>
      </c>
      <c r="I76">
        <v>12071.339999999998</v>
      </c>
      <c r="K76">
        <v>0</v>
      </c>
    </row>
    <row r="77" spans="1:11" x14ac:dyDescent="0.35">
      <c r="A77" t="s">
        <v>166</v>
      </c>
      <c r="B77" t="s">
        <v>167</v>
      </c>
      <c r="C77">
        <v>71514.43299999999</v>
      </c>
      <c r="D77">
        <v>34326.927839999997</v>
      </c>
      <c r="E77">
        <v>37187.505159999993</v>
      </c>
      <c r="F77">
        <v>7851.7188463687553</v>
      </c>
      <c r="G77">
        <v>0</v>
      </c>
      <c r="H77">
        <v>8365.6879999999983</v>
      </c>
      <c r="I77">
        <v>63148.744999999995</v>
      </c>
      <c r="K77">
        <v>0</v>
      </c>
    </row>
    <row r="78" spans="1:11" x14ac:dyDescent="0.35">
      <c r="A78" t="s">
        <v>168</v>
      </c>
      <c r="B78" t="s">
        <v>169</v>
      </c>
      <c r="C78">
        <v>38865.117916173287</v>
      </c>
      <c r="D78">
        <v>18655.256599763175</v>
      </c>
      <c r="E78">
        <v>20209.861316410112</v>
      </c>
      <c r="F78">
        <v>4267.0900976213998</v>
      </c>
      <c r="G78">
        <v>34667.782916173288</v>
      </c>
      <c r="H78">
        <v>2831.4739999999997</v>
      </c>
      <c r="I78">
        <v>1365.8609999999999</v>
      </c>
      <c r="K78">
        <v>0</v>
      </c>
    </row>
    <row r="79" spans="1:11" x14ac:dyDescent="0.35">
      <c r="A79" t="s">
        <v>170</v>
      </c>
      <c r="B79" t="s">
        <v>171</v>
      </c>
      <c r="C79">
        <v>113240.29350306495</v>
      </c>
      <c r="D79">
        <v>54355.340881471173</v>
      </c>
      <c r="E79">
        <v>58884.95262159378</v>
      </c>
      <c r="F79">
        <v>12432.91056265105</v>
      </c>
      <c r="G79">
        <v>58171.123503064962</v>
      </c>
      <c r="H79">
        <v>16711.155999999999</v>
      </c>
      <c r="I79">
        <v>38358.013999999996</v>
      </c>
      <c r="K79">
        <v>0</v>
      </c>
    </row>
    <row r="80" spans="1:11" x14ac:dyDescent="0.35">
      <c r="A80" t="s">
        <v>172</v>
      </c>
      <c r="B80" t="s">
        <v>173</v>
      </c>
      <c r="C80">
        <v>86348.469924156481</v>
      </c>
      <c r="D80">
        <v>41447.265563595109</v>
      </c>
      <c r="E80">
        <v>44901.204360561373</v>
      </c>
      <c r="F80">
        <v>9480.3958076967065</v>
      </c>
      <c r="G80">
        <v>57289.633924156486</v>
      </c>
      <c r="H80">
        <v>10035.186</v>
      </c>
      <c r="I80">
        <v>18371.892</v>
      </c>
      <c r="K80">
        <v>651.75799999999992</v>
      </c>
    </row>
    <row r="81" spans="1:11" x14ac:dyDescent="0.35">
      <c r="A81" t="s">
        <v>174</v>
      </c>
      <c r="B81" t="s">
        <v>175</v>
      </c>
      <c r="C81">
        <v>23782.154515982886</v>
      </c>
      <c r="D81">
        <v>11415.434167671785</v>
      </c>
      <c r="E81">
        <v>12366.720348311101</v>
      </c>
      <c r="F81">
        <v>2611.0970833571714</v>
      </c>
      <c r="G81">
        <v>21352.047515982886</v>
      </c>
      <c r="H81">
        <v>1297.7869999999998</v>
      </c>
      <c r="I81">
        <v>1132.32</v>
      </c>
      <c r="K81">
        <v>0</v>
      </c>
    </row>
    <row r="82" spans="1:11" x14ac:dyDescent="0.35">
      <c r="A82" t="s">
        <v>176</v>
      </c>
      <c r="B82" t="s">
        <v>177</v>
      </c>
      <c r="C82">
        <v>58678.418761481975</v>
      </c>
      <c r="D82">
        <v>28165.641005511348</v>
      </c>
      <c r="E82">
        <v>30512.777755970626</v>
      </c>
      <c r="F82">
        <v>6442.4376681745789</v>
      </c>
      <c r="G82">
        <v>57177.757761481975</v>
      </c>
      <c r="H82">
        <v>1440.0009999999997</v>
      </c>
      <c r="I82">
        <v>60.66</v>
      </c>
      <c r="K82">
        <v>0</v>
      </c>
    </row>
    <row r="83" spans="1:11" x14ac:dyDescent="0.35">
      <c r="A83" t="s">
        <v>178</v>
      </c>
      <c r="B83" t="s">
        <v>179</v>
      </c>
      <c r="C83">
        <v>81097.103073717881</v>
      </c>
      <c r="D83">
        <v>38926.609475384583</v>
      </c>
      <c r="E83">
        <v>42170.493598333298</v>
      </c>
      <c r="F83">
        <v>8903.8362425150208</v>
      </c>
      <c r="G83">
        <v>67504.88207371789</v>
      </c>
      <c r="H83">
        <v>8342.4349999999995</v>
      </c>
      <c r="I83">
        <v>5249.7859999999991</v>
      </c>
      <c r="K83">
        <v>0</v>
      </c>
    </row>
    <row r="84" spans="1:11" x14ac:dyDescent="0.35">
      <c r="A84" t="s">
        <v>180</v>
      </c>
      <c r="B84" t="s">
        <v>181</v>
      </c>
      <c r="C84">
        <v>65548.344233374752</v>
      </c>
      <c r="D84">
        <v>31463.205232019878</v>
      </c>
      <c r="E84">
        <v>34085.139001354873</v>
      </c>
      <c r="F84">
        <v>7196.7024825960407</v>
      </c>
      <c r="G84">
        <v>61257.660233374751</v>
      </c>
      <c r="H84">
        <v>3424.5939999999996</v>
      </c>
      <c r="I84">
        <v>866.08999999999992</v>
      </c>
      <c r="K84">
        <v>0</v>
      </c>
    </row>
    <row r="85" spans="1:11" x14ac:dyDescent="0.35">
      <c r="A85" t="s">
        <v>182</v>
      </c>
      <c r="B85" t="s">
        <v>183</v>
      </c>
      <c r="C85">
        <v>34985.002739437514</v>
      </c>
      <c r="D85">
        <v>16792.801314930006</v>
      </c>
      <c r="E85">
        <v>18192.201424507508</v>
      </c>
      <c r="F85">
        <v>3841.0833868225163</v>
      </c>
      <c r="G85">
        <v>24169.661739437513</v>
      </c>
      <c r="H85">
        <v>407.09599999999995</v>
      </c>
      <c r="I85">
        <v>10408.244999999999</v>
      </c>
      <c r="K85">
        <v>0</v>
      </c>
    </row>
    <row r="86" spans="1:11" x14ac:dyDescent="0.35">
      <c r="A86" t="s">
        <v>184</v>
      </c>
      <c r="B86" t="s">
        <v>185</v>
      </c>
      <c r="C86">
        <v>70800.228254901536</v>
      </c>
      <c r="D86">
        <v>33984.109562352736</v>
      </c>
      <c r="E86">
        <v>36816.1186925488</v>
      </c>
      <c r="F86">
        <v>7773.3188291731658</v>
      </c>
      <c r="G86">
        <v>67518.85925490153</v>
      </c>
      <c r="H86">
        <v>3046.8169999999996</v>
      </c>
      <c r="I86">
        <v>234.55199999999996</v>
      </c>
      <c r="K86">
        <v>0</v>
      </c>
    </row>
    <row r="87" spans="1:11" x14ac:dyDescent="0.35">
      <c r="A87" t="s">
        <v>186</v>
      </c>
      <c r="B87" t="s">
        <v>187</v>
      </c>
      <c r="C87">
        <v>60804.317494572679</v>
      </c>
      <c r="D87">
        <v>29186.072397394884</v>
      </c>
      <c r="E87">
        <v>31618.245097177794</v>
      </c>
      <c r="F87">
        <v>6675.8449474753388</v>
      </c>
      <c r="G87">
        <v>54930.070494572683</v>
      </c>
      <c r="H87">
        <v>4890.2069999999994</v>
      </c>
      <c r="I87">
        <v>984.03999999999985</v>
      </c>
      <c r="K87">
        <v>0</v>
      </c>
    </row>
    <row r="88" spans="1:11" x14ac:dyDescent="0.35">
      <c r="A88" t="s">
        <v>188</v>
      </c>
      <c r="B88" t="s">
        <v>189</v>
      </c>
      <c r="C88">
        <v>81104.834296418107</v>
      </c>
      <c r="D88">
        <v>38930.320462280688</v>
      </c>
      <c r="E88">
        <v>42174.513834137419</v>
      </c>
      <c r="F88">
        <v>8904.6850711200896</v>
      </c>
      <c r="G88">
        <v>70382.168296418109</v>
      </c>
      <c r="H88">
        <v>6023.8749999999991</v>
      </c>
      <c r="I88">
        <v>4698.7909999999993</v>
      </c>
      <c r="K88">
        <v>0</v>
      </c>
    </row>
    <row r="89" spans="1:11" x14ac:dyDescent="0.35">
      <c r="A89" t="s">
        <v>190</v>
      </c>
      <c r="B89" t="s">
        <v>191</v>
      </c>
      <c r="C89">
        <v>110518.20578025127</v>
      </c>
      <c r="D89">
        <v>53048.738774520607</v>
      </c>
      <c r="E89">
        <v>57469.467005730665</v>
      </c>
      <c r="F89">
        <v>12134.046331956371</v>
      </c>
      <c r="G89">
        <v>98691.864780251271</v>
      </c>
      <c r="H89">
        <v>5266.6359999999995</v>
      </c>
      <c r="I89">
        <v>6559.704999999999</v>
      </c>
      <c r="K89">
        <v>0</v>
      </c>
    </row>
    <row r="90" spans="1:11" x14ac:dyDescent="0.35">
      <c r="A90" t="s">
        <v>192</v>
      </c>
      <c r="B90" t="s">
        <v>193</v>
      </c>
      <c r="C90">
        <v>40329.93081786939</v>
      </c>
      <c r="D90">
        <v>19358.366792577308</v>
      </c>
      <c r="E90">
        <v>20971.564025292082</v>
      </c>
      <c r="F90">
        <v>4427.9152530004976</v>
      </c>
      <c r="G90">
        <v>40318.135817869392</v>
      </c>
      <c r="H90">
        <v>11.794999999999998</v>
      </c>
      <c r="I90">
        <v>0</v>
      </c>
      <c r="K90">
        <v>0</v>
      </c>
    </row>
    <row r="91" spans="1:11" x14ac:dyDescent="0.35">
      <c r="A91" t="s">
        <v>194</v>
      </c>
      <c r="B91" t="s">
        <v>195</v>
      </c>
      <c r="C91">
        <v>125908.77589527957</v>
      </c>
      <c r="D91">
        <v>60436.212429734194</v>
      </c>
      <c r="E91">
        <v>65472.563465545376</v>
      </c>
      <c r="F91">
        <v>13823.812190282921</v>
      </c>
      <c r="G91">
        <v>119015.77789527956</v>
      </c>
      <c r="H91">
        <v>5064.4359999999997</v>
      </c>
      <c r="I91">
        <v>1828.5619999999999</v>
      </c>
      <c r="K91">
        <v>0</v>
      </c>
    </row>
    <row r="92" spans="1:11" x14ac:dyDescent="0.35">
      <c r="A92" t="s">
        <v>196</v>
      </c>
      <c r="B92" t="s">
        <v>197</v>
      </c>
      <c r="C92">
        <v>104127.9700331459</v>
      </c>
      <c r="D92">
        <v>49981.425615910033</v>
      </c>
      <c r="E92">
        <v>54146.544417235869</v>
      </c>
      <c r="F92">
        <v>11432.447748446286</v>
      </c>
      <c r="G92">
        <v>99862.561033145903</v>
      </c>
      <c r="H92">
        <v>4063.2089999999994</v>
      </c>
      <c r="I92">
        <v>202.2</v>
      </c>
      <c r="K92">
        <v>0</v>
      </c>
    </row>
    <row r="93" spans="1:11" x14ac:dyDescent="0.35">
      <c r="A93" t="s">
        <v>198</v>
      </c>
      <c r="B93" t="s">
        <v>199</v>
      </c>
      <c r="C93">
        <v>48003.931225172004</v>
      </c>
      <c r="D93">
        <v>23041.886988082562</v>
      </c>
      <c r="E93">
        <v>24962.044237089442</v>
      </c>
      <c r="F93">
        <v>5270.4612917844643</v>
      </c>
      <c r="G93">
        <v>13357.97222517201</v>
      </c>
      <c r="H93">
        <v>11224.795999999998</v>
      </c>
      <c r="I93">
        <v>23421.162999999997</v>
      </c>
      <c r="K93">
        <v>0</v>
      </c>
    </row>
    <row r="94" spans="1:11" x14ac:dyDescent="0.35">
      <c r="A94" t="s">
        <v>200</v>
      </c>
      <c r="B94" t="s">
        <v>201</v>
      </c>
      <c r="C94">
        <v>61122.077198560699</v>
      </c>
      <c r="D94">
        <v>29338.597055309136</v>
      </c>
      <c r="E94">
        <v>31783.480143251563</v>
      </c>
      <c r="F94">
        <v>6710.732511414677</v>
      </c>
      <c r="G94">
        <v>34536.147198560706</v>
      </c>
      <c r="H94">
        <v>413.83599999999996</v>
      </c>
      <c r="I94">
        <v>26172.093999999997</v>
      </c>
      <c r="K94">
        <v>0</v>
      </c>
    </row>
    <row r="95" spans="1:11" x14ac:dyDescent="0.35">
      <c r="A95" t="s">
        <v>202</v>
      </c>
      <c r="B95" t="s">
        <v>203</v>
      </c>
      <c r="C95">
        <v>126397.88255956036</v>
      </c>
      <c r="D95">
        <v>60670.983628588969</v>
      </c>
      <c r="E95">
        <v>65726.898930971394</v>
      </c>
      <c r="F95">
        <v>13877.512328497725</v>
      </c>
      <c r="G95">
        <v>84015.414559560362</v>
      </c>
      <c r="H95">
        <v>8095.7509999999993</v>
      </c>
      <c r="I95">
        <v>32082.399999999998</v>
      </c>
      <c r="K95">
        <v>2204.3169999999996</v>
      </c>
    </row>
    <row r="96" spans="1:11" x14ac:dyDescent="0.35">
      <c r="A96" t="s">
        <v>204</v>
      </c>
      <c r="B96" t="s">
        <v>205</v>
      </c>
      <c r="C96">
        <v>92590.899462221831</v>
      </c>
      <c r="D96">
        <v>44443.631741866477</v>
      </c>
      <c r="E96">
        <v>48147.267720355354</v>
      </c>
      <c r="F96">
        <v>10165.766409798836</v>
      </c>
      <c r="G96">
        <v>22238.442462221832</v>
      </c>
      <c r="H96">
        <v>10102.585999999999</v>
      </c>
      <c r="I96">
        <v>52107.613999999994</v>
      </c>
      <c r="K96">
        <v>8142.2569999999996</v>
      </c>
    </row>
    <row r="97" spans="1:11" x14ac:dyDescent="0.35">
      <c r="A97" t="s">
        <v>206</v>
      </c>
      <c r="B97" t="s">
        <v>207</v>
      </c>
      <c r="C97">
        <v>94151.293788409821</v>
      </c>
      <c r="D97">
        <v>45192.621018436716</v>
      </c>
      <c r="E97">
        <v>48958.672769973105</v>
      </c>
      <c r="F97">
        <v>10337.085668163691</v>
      </c>
      <c r="G97">
        <v>73730.778788409822</v>
      </c>
      <c r="H97">
        <v>962.47199999999987</v>
      </c>
      <c r="I97">
        <v>19458.042999999998</v>
      </c>
      <c r="K97">
        <v>0</v>
      </c>
    </row>
    <row r="98" spans="1:11" x14ac:dyDescent="0.35">
      <c r="A98" t="s">
        <v>208</v>
      </c>
      <c r="B98" t="s">
        <v>209</v>
      </c>
      <c r="C98">
        <v>86373.270460503249</v>
      </c>
      <c r="D98">
        <v>41459.169821041556</v>
      </c>
      <c r="E98">
        <v>44914.100639461692</v>
      </c>
      <c r="F98">
        <v>9483.1187152481325</v>
      </c>
      <c r="G98">
        <v>56684.91846050325</v>
      </c>
      <c r="H98">
        <v>193.43799999999999</v>
      </c>
      <c r="I98">
        <v>29494.913999999997</v>
      </c>
      <c r="K98">
        <v>0</v>
      </c>
    </row>
    <row r="99" spans="1:11" x14ac:dyDescent="0.35">
      <c r="A99" t="s">
        <v>210</v>
      </c>
      <c r="B99" t="s">
        <v>211</v>
      </c>
      <c r="C99">
        <v>52465.11046556486</v>
      </c>
      <c r="D99">
        <v>25183.25302347113</v>
      </c>
      <c r="E99">
        <v>27281.857442093729</v>
      </c>
      <c r="F99">
        <v>5760.2643537860531</v>
      </c>
      <c r="G99">
        <v>50570.496465564858</v>
      </c>
      <c r="H99">
        <v>1824.5179999999998</v>
      </c>
      <c r="I99">
        <v>70.095999999999989</v>
      </c>
      <c r="K99">
        <v>0</v>
      </c>
    </row>
    <row r="100" spans="1:11" x14ac:dyDescent="0.35">
      <c r="A100" t="s">
        <v>212</v>
      </c>
      <c r="B100" t="s">
        <v>213</v>
      </c>
      <c r="C100">
        <v>171128.6926853834</v>
      </c>
      <c r="D100">
        <v>82141.772488984032</v>
      </c>
      <c r="E100">
        <v>88986.920196399369</v>
      </c>
      <c r="F100">
        <v>18788.61017614002</v>
      </c>
      <c r="G100">
        <v>168720.49068538341</v>
      </c>
      <c r="H100">
        <v>2255.8779999999997</v>
      </c>
      <c r="I100">
        <v>152.32399999999998</v>
      </c>
      <c r="K100">
        <v>0</v>
      </c>
    </row>
    <row r="101" spans="1:11" x14ac:dyDescent="0.35">
      <c r="A101" t="s">
        <v>214</v>
      </c>
      <c r="B101" t="s">
        <v>215</v>
      </c>
      <c r="C101">
        <v>139701.10167734764</v>
      </c>
      <c r="D101">
        <v>67056.528805126873</v>
      </c>
      <c r="E101">
        <v>72644.572872220771</v>
      </c>
      <c r="F101">
        <v>15338.103151518884</v>
      </c>
      <c r="G101">
        <v>138660.78267734766</v>
      </c>
      <c r="H101">
        <v>1040.319</v>
      </c>
      <c r="I101">
        <v>0</v>
      </c>
      <c r="K101">
        <v>0</v>
      </c>
    </row>
    <row r="102" spans="1:11" x14ac:dyDescent="0.35">
      <c r="A102" t="s">
        <v>216</v>
      </c>
      <c r="B102" t="s">
        <v>217</v>
      </c>
      <c r="C102">
        <v>88813.787140499859</v>
      </c>
      <c r="D102">
        <v>42630.617827439928</v>
      </c>
      <c r="E102">
        <v>46183.169313059931</v>
      </c>
      <c r="F102">
        <v>9751.0686177996868</v>
      </c>
      <c r="G102">
        <v>83519.854140499854</v>
      </c>
      <c r="H102">
        <v>1809.6899999999998</v>
      </c>
      <c r="I102">
        <v>3484.2429999999995</v>
      </c>
      <c r="K102">
        <v>0</v>
      </c>
    </row>
    <row r="103" spans="1:11" x14ac:dyDescent="0.35">
      <c r="A103" t="s">
        <v>218</v>
      </c>
      <c r="B103" t="s">
        <v>219</v>
      </c>
      <c r="C103">
        <v>67941.839498479472</v>
      </c>
      <c r="D103">
        <v>32612.082959270145</v>
      </c>
      <c r="E103">
        <v>35329.756539209324</v>
      </c>
      <c r="F103">
        <v>7459.4897965689624</v>
      </c>
      <c r="G103">
        <v>62713.621498479471</v>
      </c>
      <c r="H103">
        <v>3868.0859999999998</v>
      </c>
      <c r="I103">
        <v>1360.1319999999998</v>
      </c>
      <c r="K103">
        <v>0</v>
      </c>
    </row>
    <row r="104" spans="1:11" x14ac:dyDescent="0.35">
      <c r="A104" t="s">
        <v>220</v>
      </c>
      <c r="B104" t="s">
        <v>221</v>
      </c>
      <c r="C104">
        <v>83106.167473554175</v>
      </c>
      <c r="D104">
        <v>39890.960387306004</v>
      </c>
      <c r="E104">
        <v>43215.207086248171</v>
      </c>
      <c r="F104">
        <v>9124.4160134169269</v>
      </c>
      <c r="G104">
        <v>59746.338473554177</v>
      </c>
      <c r="H104">
        <v>17464.350999999999</v>
      </c>
      <c r="I104">
        <v>5895.4779999999992</v>
      </c>
      <c r="K104">
        <v>0</v>
      </c>
    </row>
    <row r="105" spans="1:11" x14ac:dyDescent="0.35">
      <c r="A105" t="s">
        <v>222</v>
      </c>
      <c r="B105" t="s">
        <v>223</v>
      </c>
      <c r="C105">
        <v>97016.673941690242</v>
      </c>
      <c r="D105">
        <v>46568.003492011318</v>
      </c>
      <c r="E105">
        <v>50448.670449678924</v>
      </c>
      <c r="F105">
        <v>10651.682302203382</v>
      </c>
      <c r="G105">
        <v>77655.686941690248</v>
      </c>
      <c r="H105">
        <v>10706.49</v>
      </c>
      <c r="I105">
        <v>8654.4969999999994</v>
      </c>
      <c r="K105">
        <v>0</v>
      </c>
    </row>
    <row r="106" spans="1:11" x14ac:dyDescent="0.35">
      <c r="A106" t="s">
        <v>224</v>
      </c>
      <c r="B106" t="s">
        <v>225</v>
      </c>
      <c r="C106">
        <v>51107.095919893327</v>
      </c>
      <c r="D106">
        <v>24531.406041548795</v>
      </c>
      <c r="E106">
        <v>26575.689878344532</v>
      </c>
      <c r="F106">
        <v>5611.1648339348758</v>
      </c>
      <c r="G106">
        <v>48218.331919893324</v>
      </c>
      <c r="H106">
        <v>2423.7039999999997</v>
      </c>
      <c r="I106">
        <v>465.05999999999995</v>
      </c>
      <c r="K106">
        <v>0</v>
      </c>
    </row>
    <row r="107" spans="1:11" x14ac:dyDescent="0.35">
      <c r="A107" t="s">
        <v>226</v>
      </c>
      <c r="B107" t="s">
        <v>227</v>
      </c>
      <c r="C107">
        <v>50032.327678321337</v>
      </c>
      <c r="D107">
        <v>24015.51728559424</v>
      </c>
      <c r="E107">
        <v>26016.810392727097</v>
      </c>
      <c r="F107">
        <v>5493.1635729907712</v>
      </c>
      <c r="G107">
        <v>46748.936678321341</v>
      </c>
      <c r="H107">
        <v>1587.9439999999997</v>
      </c>
      <c r="I107">
        <v>1695.4469999999999</v>
      </c>
      <c r="K107">
        <v>0</v>
      </c>
    </row>
    <row r="108" spans="1:11" x14ac:dyDescent="0.35">
      <c r="A108" t="s">
        <v>228</v>
      </c>
      <c r="B108" t="s">
        <v>229</v>
      </c>
      <c r="C108">
        <v>66243.067300591589</v>
      </c>
      <c r="D108">
        <v>31796.672304283962</v>
      </c>
      <c r="E108">
        <v>34446.39499630763</v>
      </c>
      <c r="F108">
        <v>7272.9777154952189</v>
      </c>
      <c r="G108">
        <v>57638.783300591582</v>
      </c>
      <c r="H108">
        <v>5861.1039999999994</v>
      </c>
      <c r="I108">
        <v>2743.18</v>
      </c>
      <c r="K108">
        <v>0</v>
      </c>
    </row>
    <row r="109" spans="1:11" x14ac:dyDescent="0.35">
      <c r="A109" t="s">
        <v>230</v>
      </c>
      <c r="B109" t="s">
        <v>231</v>
      </c>
      <c r="C109">
        <v>62268.232250623609</v>
      </c>
      <c r="D109">
        <v>29888.751480299332</v>
      </c>
      <c r="E109">
        <v>32379.480770324277</v>
      </c>
      <c r="F109">
        <v>6836.5714933919098</v>
      </c>
      <c r="G109">
        <v>55676.175250623608</v>
      </c>
      <c r="H109">
        <v>3312.3729999999996</v>
      </c>
      <c r="I109">
        <v>3279.6839999999997</v>
      </c>
      <c r="K109">
        <v>0</v>
      </c>
    </row>
    <row r="110" spans="1:11" x14ac:dyDescent="0.35">
      <c r="A110" t="s">
        <v>232</v>
      </c>
      <c r="B110" t="s">
        <v>233</v>
      </c>
      <c r="C110">
        <v>76199.805460676449</v>
      </c>
      <c r="D110">
        <v>36575.906621124697</v>
      </c>
      <c r="E110">
        <v>39623.898839551752</v>
      </c>
      <c r="F110">
        <v>8366.1507479080956</v>
      </c>
      <c r="G110">
        <v>75504.911460676449</v>
      </c>
      <c r="H110">
        <v>678.04399999999998</v>
      </c>
      <c r="I110">
        <v>16.849999999999998</v>
      </c>
      <c r="K110">
        <v>0</v>
      </c>
    </row>
    <row r="111" spans="1:11" x14ac:dyDescent="0.35">
      <c r="A111" t="s">
        <v>234</v>
      </c>
      <c r="B111" t="s">
        <v>235</v>
      </c>
      <c r="C111">
        <v>82116.824772942869</v>
      </c>
      <c r="D111">
        <v>39416.075891012573</v>
      </c>
      <c r="E111">
        <v>42700.748881930296</v>
      </c>
      <c r="F111">
        <v>9015.793817800848</v>
      </c>
      <c r="G111">
        <v>25603.272772942866</v>
      </c>
      <c r="H111">
        <v>23875.775999999998</v>
      </c>
      <c r="I111">
        <v>32637.775999999998</v>
      </c>
      <c r="K111">
        <v>0</v>
      </c>
    </row>
    <row r="112" spans="1:11" x14ac:dyDescent="0.35">
      <c r="A112" t="s">
        <v>236</v>
      </c>
      <c r="B112" t="s">
        <v>237</v>
      </c>
      <c r="C112">
        <v>64910.978320721319</v>
      </c>
      <c r="D112">
        <v>31157.269593946232</v>
      </c>
      <c r="E112">
        <v>33753.70872677509</v>
      </c>
      <c r="F112">
        <v>7126.724622749819</v>
      </c>
      <c r="G112">
        <v>27110.699320721327</v>
      </c>
      <c r="H112">
        <v>19648.784999999996</v>
      </c>
      <c r="I112">
        <v>18151.493999999999</v>
      </c>
      <c r="K112">
        <v>0</v>
      </c>
    </row>
    <row r="113" spans="1:11" x14ac:dyDescent="0.35">
      <c r="A113" t="s">
        <v>238</v>
      </c>
      <c r="B113" t="s">
        <v>239</v>
      </c>
      <c r="C113">
        <v>64005.15951972481</v>
      </c>
      <c r="D113">
        <v>30722.476569467908</v>
      </c>
      <c r="E113">
        <v>33282.682950256902</v>
      </c>
      <c r="F113">
        <v>7027.2727069134071</v>
      </c>
      <c r="G113">
        <v>57469.718519724811</v>
      </c>
      <c r="H113">
        <v>6383.1169999999993</v>
      </c>
      <c r="I113">
        <v>152.32399999999998</v>
      </c>
      <c r="K113">
        <v>0</v>
      </c>
    </row>
    <row r="114" spans="1:11" x14ac:dyDescent="0.35">
      <c r="A114" t="s">
        <v>240</v>
      </c>
      <c r="B114" t="s">
        <v>241</v>
      </c>
      <c r="C114">
        <v>99198.645999999993</v>
      </c>
      <c r="D114">
        <v>47615.350079999997</v>
      </c>
      <c r="E114">
        <v>51583.295919999997</v>
      </c>
      <c r="F114">
        <v>10891.252125728075</v>
      </c>
      <c r="G114">
        <v>0</v>
      </c>
      <c r="H114">
        <v>10471.263999999999</v>
      </c>
      <c r="I114">
        <v>88727.381999999998</v>
      </c>
      <c r="K114">
        <v>0</v>
      </c>
    </row>
    <row r="115" spans="1:11" x14ac:dyDescent="0.35">
      <c r="A115" t="s">
        <v>242</v>
      </c>
      <c r="B115" t="s">
        <v>243</v>
      </c>
      <c r="C115">
        <v>107491.63699827531</v>
      </c>
      <c r="D115">
        <v>51595.985759172145</v>
      </c>
      <c r="E115">
        <v>55895.651239103165</v>
      </c>
      <c r="F115">
        <v>11801.752430077704</v>
      </c>
      <c r="G115">
        <v>103311.15199827531</v>
      </c>
      <c r="H115">
        <v>4112.0739999999996</v>
      </c>
      <c r="I115">
        <v>68.410999999999987</v>
      </c>
      <c r="K115">
        <v>0</v>
      </c>
    </row>
    <row r="116" spans="1:11" x14ac:dyDescent="0.35">
      <c r="A116" t="s">
        <v>244</v>
      </c>
      <c r="B116" t="s">
        <v>245</v>
      </c>
      <c r="C116">
        <v>49351.885448503323</v>
      </c>
      <c r="D116">
        <v>23688.905015281594</v>
      </c>
      <c r="E116">
        <v>25662.980433221728</v>
      </c>
      <c r="F116">
        <v>5418.4562658594159</v>
      </c>
      <c r="G116">
        <v>48656.654448503323</v>
      </c>
      <c r="H116">
        <v>317.45399999999995</v>
      </c>
      <c r="I116">
        <v>377.77699999999999</v>
      </c>
      <c r="K116">
        <v>0</v>
      </c>
    </row>
    <row r="117" spans="1:11" x14ac:dyDescent="0.35">
      <c r="A117" t="s">
        <v>246</v>
      </c>
      <c r="B117" t="s">
        <v>247</v>
      </c>
      <c r="C117">
        <v>75759.432835013009</v>
      </c>
      <c r="D117">
        <v>36364.527760806246</v>
      </c>
      <c r="E117">
        <v>39394.905074206763</v>
      </c>
      <c r="F117">
        <v>8317.8012311438615</v>
      </c>
      <c r="G117">
        <v>74805.722835013003</v>
      </c>
      <c r="H117">
        <v>938.54499999999996</v>
      </c>
      <c r="I117">
        <v>15.164999999999999</v>
      </c>
      <c r="K117">
        <v>0</v>
      </c>
    </row>
    <row r="118" spans="1:11" x14ac:dyDescent="0.35">
      <c r="A118" t="s">
        <v>248</v>
      </c>
      <c r="B118" t="s">
        <v>249</v>
      </c>
      <c r="C118">
        <v>59844.368104842019</v>
      </c>
      <c r="D118">
        <v>28725.296690324169</v>
      </c>
      <c r="E118">
        <v>31119.07141451785</v>
      </c>
      <c r="F118">
        <v>6570.4499106206376</v>
      </c>
      <c r="G118">
        <v>47868.399104842021</v>
      </c>
      <c r="H118">
        <v>3739.0149999999994</v>
      </c>
      <c r="I118">
        <v>8236.9539999999997</v>
      </c>
      <c r="K118">
        <v>0</v>
      </c>
    </row>
    <row r="119" spans="1:11" x14ac:dyDescent="0.35">
      <c r="A119" t="s">
        <v>250</v>
      </c>
      <c r="B119" t="s">
        <v>251</v>
      </c>
      <c r="C119">
        <v>104459.60731522118</v>
      </c>
      <c r="D119">
        <v>50140.611511306161</v>
      </c>
      <c r="E119">
        <v>54318.995803915015</v>
      </c>
      <c r="F119">
        <v>11468.858963392237</v>
      </c>
      <c r="G119">
        <v>102045.67631522118</v>
      </c>
      <c r="H119">
        <v>1735.2129999999997</v>
      </c>
      <c r="I119">
        <v>678.71799999999996</v>
      </c>
      <c r="K119">
        <v>0</v>
      </c>
    </row>
    <row r="120" spans="1:11" x14ac:dyDescent="0.35">
      <c r="A120" t="s">
        <v>252</v>
      </c>
      <c r="B120" t="s">
        <v>253</v>
      </c>
      <c r="C120">
        <v>57413.016765193854</v>
      </c>
      <c r="D120">
        <v>27558.248047293047</v>
      </c>
      <c r="E120">
        <v>29854.768717900806</v>
      </c>
      <c r="F120">
        <v>6303.5062917275154</v>
      </c>
      <c r="G120">
        <v>56980.308765193855</v>
      </c>
      <c r="H120">
        <v>175.23999999999998</v>
      </c>
      <c r="I120">
        <v>257.46799999999996</v>
      </c>
      <c r="K120">
        <v>0</v>
      </c>
    </row>
    <row r="121" spans="1:11" x14ac:dyDescent="0.35">
      <c r="A121" t="s">
        <v>254</v>
      </c>
      <c r="B121" t="s">
        <v>255</v>
      </c>
      <c r="C121">
        <v>69354.636601956096</v>
      </c>
      <c r="D121">
        <v>33290.225568938928</v>
      </c>
      <c r="E121">
        <v>36064.411033017168</v>
      </c>
      <c r="F121">
        <v>7614.6040186123901</v>
      </c>
      <c r="G121">
        <v>68151.883601956099</v>
      </c>
      <c r="H121">
        <v>872.49299999999994</v>
      </c>
      <c r="I121">
        <v>330.26</v>
      </c>
      <c r="K121">
        <v>0</v>
      </c>
    </row>
    <row r="122" spans="1:11" x14ac:dyDescent="0.35">
      <c r="A122" t="s">
        <v>256</v>
      </c>
      <c r="B122" t="s">
        <v>257</v>
      </c>
      <c r="C122">
        <v>69398.353495101299</v>
      </c>
      <c r="D122">
        <v>33311.209677648621</v>
      </c>
      <c r="E122">
        <v>36087.143817452677</v>
      </c>
      <c r="F122">
        <v>7619.4037961980666</v>
      </c>
      <c r="G122">
        <v>68669.759495101302</v>
      </c>
      <c r="H122">
        <v>642.65899999999999</v>
      </c>
      <c r="I122">
        <v>85.934999999999988</v>
      </c>
      <c r="K122">
        <v>0</v>
      </c>
    </row>
    <row r="123" spans="1:11" x14ac:dyDescent="0.35">
      <c r="A123" t="s">
        <v>258</v>
      </c>
      <c r="B123" t="s">
        <v>259</v>
      </c>
      <c r="C123">
        <v>130250.08808682185</v>
      </c>
      <c r="D123">
        <v>62520.042281674483</v>
      </c>
      <c r="E123">
        <v>67730.045805147369</v>
      </c>
      <c r="F123">
        <v>14300.454775111006</v>
      </c>
      <c r="G123">
        <v>126498.26708682186</v>
      </c>
      <c r="H123">
        <v>3106.1289999999999</v>
      </c>
      <c r="I123">
        <v>645.69199999999989</v>
      </c>
      <c r="K123">
        <v>0</v>
      </c>
    </row>
    <row r="124" spans="1:11" x14ac:dyDescent="0.35">
      <c r="A124" t="s">
        <v>260</v>
      </c>
      <c r="B124" t="s">
        <v>261</v>
      </c>
      <c r="C124">
        <v>127478.72803507192</v>
      </c>
      <c r="D124">
        <v>61189.789456834522</v>
      </c>
      <c r="E124">
        <v>66288.938578237401</v>
      </c>
      <c r="F124">
        <v>13996.180822841725</v>
      </c>
      <c r="G124">
        <v>108342.18303507192</v>
      </c>
      <c r="H124">
        <v>17551.296999999999</v>
      </c>
      <c r="I124">
        <v>1585.2479999999998</v>
      </c>
      <c r="K124">
        <v>0</v>
      </c>
    </row>
    <row r="125" spans="1:11" x14ac:dyDescent="0.35">
      <c r="A125" t="s">
        <v>262</v>
      </c>
      <c r="B125" t="s">
        <v>263</v>
      </c>
      <c r="C125">
        <v>73914.181866586747</v>
      </c>
      <c r="D125">
        <v>35478.80729596164</v>
      </c>
      <c r="E125">
        <v>38435.374570625107</v>
      </c>
      <c r="F125">
        <v>8115.2069111682786</v>
      </c>
      <c r="G125">
        <v>59572.472866586751</v>
      </c>
      <c r="H125">
        <v>12938.440999999999</v>
      </c>
      <c r="I125">
        <v>1403.2679999999998</v>
      </c>
      <c r="K125">
        <v>0</v>
      </c>
    </row>
    <row r="126" spans="1:11" x14ac:dyDescent="0.35">
      <c r="A126" t="s">
        <v>264</v>
      </c>
      <c r="B126" t="s">
        <v>265</v>
      </c>
      <c r="C126">
        <v>33443.631574859763</v>
      </c>
      <c r="D126">
        <v>16052.943155932686</v>
      </c>
      <c r="E126">
        <v>17390.688418927079</v>
      </c>
      <c r="F126">
        <v>3671.8527248362352</v>
      </c>
      <c r="G126">
        <v>31307.38857485976</v>
      </c>
      <c r="H126">
        <v>1138.049</v>
      </c>
      <c r="I126">
        <v>998.19399999999985</v>
      </c>
      <c r="K126">
        <v>0</v>
      </c>
    </row>
    <row r="127" spans="1:11" x14ac:dyDescent="0.35">
      <c r="A127" t="s">
        <v>266</v>
      </c>
      <c r="B127" t="s">
        <v>267</v>
      </c>
      <c r="C127">
        <v>78549.668968661019</v>
      </c>
      <c r="D127">
        <v>37703.84110495729</v>
      </c>
      <c r="E127">
        <v>40845.827863703729</v>
      </c>
      <c r="F127">
        <v>8624.1476315740583</v>
      </c>
      <c r="G127">
        <v>70713.74496866102</v>
      </c>
      <c r="H127">
        <v>6992.7499999999991</v>
      </c>
      <c r="I127">
        <v>843.17399999999986</v>
      </c>
      <c r="K127">
        <v>0</v>
      </c>
    </row>
    <row r="128" spans="1:11" x14ac:dyDescent="0.35">
      <c r="A128" t="s">
        <v>268</v>
      </c>
      <c r="B128" t="s">
        <v>269</v>
      </c>
      <c r="C128">
        <v>37434.827962879681</v>
      </c>
      <c r="D128">
        <v>17968.717422182246</v>
      </c>
      <c r="E128">
        <v>19466.110540697435</v>
      </c>
      <c r="F128">
        <v>4110.0552956277388</v>
      </c>
      <c r="G128">
        <v>36993.694962879679</v>
      </c>
      <c r="H128">
        <v>372.38499999999999</v>
      </c>
      <c r="I128">
        <v>68.74799999999999</v>
      </c>
      <c r="K128">
        <v>0</v>
      </c>
    </row>
    <row r="129" spans="1:11" x14ac:dyDescent="0.35">
      <c r="A129" t="s">
        <v>270</v>
      </c>
      <c r="B129" t="s">
        <v>271</v>
      </c>
      <c r="C129">
        <v>77900.153737510307</v>
      </c>
      <c r="D129">
        <v>37392.073794004944</v>
      </c>
      <c r="E129">
        <v>40508.079943505363</v>
      </c>
      <c r="F129">
        <v>8552.8358702904497</v>
      </c>
      <c r="G129">
        <v>73278.198737510305</v>
      </c>
      <c r="H129">
        <v>2992.8969999999995</v>
      </c>
      <c r="I129">
        <v>1629.0579999999998</v>
      </c>
      <c r="K129">
        <v>0</v>
      </c>
    </row>
    <row r="130" spans="1:11" x14ac:dyDescent="0.35">
      <c r="A130" t="s">
        <v>272</v>
      </c>
      <c r="B130" t="s">
        <v>273</v>
      </c>
      <c r="C130">
        <v>59350.011358547563</v>
      </c>
      <c r="D130">
        <v>28488.005452102829</v>
      </c>
      <c r="E130">
        <v>30862.005906444734</v>
      </c>
      <c r="F130">
        <v>6516.1733539058159</v>
      </c>
      <c r="G130">
        <v>54637.066358547563</v>
      </c>
      <c r="H130">
        <v>4107.3559999999998</v>
      </c>
      <c r="I130">
        <v>605.58899999999994</v>
      </c>
      <c r="K130">
        <v>0</v>
      </c>
    </row>
    <row r="131" spans="1:11" x14ac:dyDescent="0.35">
      <c r="A131" t="s">
        <v>274</v>
      </c>
      <c r="B131" t="s">
        <v>275</v>
      </c>
      <c r="C131">
        <v>54212.919821034717</v>
      </c>
      <c r="D131">
        <v>26022.201514096661</v>
      </c>
      <c r="E131">
        <v>28190.718306938055</v>
      </c>
      <c r="F131">
        <v>5952.160336434079</v>
      </c>
      <c r="G131">
        <v>51699.573821034719</v>
      </c>
      <c r="H131">
        <v>2325.6369999999997</v>
      </c>
      <c r="I131">
        <v>187.70899999999997</v>
      </c>
      <c r="K131">
        <v>0</v>
      </c>
    </row>
    <row r="132" spans="1:11" x14ac:dyDescent="0.35">
      <c r="A132" t="s">
        <v>276</v>
      </c>
      <c r="B132" t="s">
        <v>277</v>
      </c>
      <c r="C132">
        <v>54226.436124111518</v>
      </c>
      <c r="D132">
        <v>26028.689339573528</v>
      </c>
      <c r="E132">
        <v>28197.746784537991</v>
      </c>
      <c r="F132">
        <v>5953.6443222318294</v>
      </c>
      <c r="G132">
        <v>48432.058124111521</v>
      </c>
      <c r="H132">
        <v>5553.7599999999993</v>
      </c>
      <c r="I132">
        <v>240.61799999999997</v>
      </c>
      <c r="K132">
        <v>0</v>
      </c>
    </row>
    <row r="133" spans="1:11" x14ac:dyDescent="0.35">
      <c r="A133" t="s">
        <v>278</v>
      </c>
      <c r="B133" t="s">
        <v>279</v>
      </c>
      <c r="C133">
        <v>36141.412504374559</v>
      </c>
      <c r="D133">
        <v>17347.878002099787</v>
      </c>
      <c r="E133">
        <v>18793.534502274772</v>
      </c>
      <c r="F133">
        <v>3968.0482571568509</v>
      </c>
      <c r="G133">
        <v>36141.412504374559</v>
      </c>
      <c r="H133">
        <v>0</v>
      </c>
      <c r="I133">
        <v>0</v>
      </c>
      <c r="K133">
        <v>0</v>
      </c>
    </row>
    <row r="134" spans="1:11" x14ac:dyDescent="0.35">
      <c r="A134" t="s">
        <v>280</v>
      </c>
      <c r="B134" t="s">
        <v>281</v>
      </c>
      <c r="C134">
        <v>82536.249999497042</v>
      </c>
      <c r="D134">
        <v>39617.399999758578</v>
      </c>
      <c r="E134">
        <v>42918.849999738464</v>
      </c>
      <c r="F134">
        <v>9061.8434717548698</v>
      </c>
      <c r="G134">
        <v>82536.249999497042</v>
      </c>
      <c r="H134">
        <v>0</v>
      </c>
      <c r="I134">
        <v>0</v>
      </c>
      <c r="K134">
        <v>0</v>
      </c>
    </row>
    <row r="135" spans="1:11" x14ac:dyDescent="0.35">
      <c r="A135" t="s">
        <v>282</v>
      </c>
      <c r="B135" t="s">
        <v>283</v>
      </c>
      <c r="C135">
        <v>64539.086984349669</v>
      </c>
      <c r="D135">
        <v>30978.761752487841</v>
      </c>
      <c r="E135">
        <v>33560.325231861832</v>
      </c>
      <c r="F135">
        <v>7085.8938232075307</v>
      </c>
      <c r="G135">
        <v>64539.086984349669</v>
      </c>
      <c r="H135">
        <v>0</v>
      </c>
      <c r="I135">
        <v>0</v>
      </c>
      <c r="K135">
        <v>0</v>
      </c>
    </row>
    <row r="136" spans="1:11" x14ac:dyDescent="0.35">
      <c r="A136" t="s">
        <v>284</v>
      </c>
      <c r="B136" t="s">
        <v>285</v>
      </c>
      <c r="C136">
        <v>32442.360498273807</v>
      </c>
      <c r="D136">
        <v>15572.333039171426</v>
      </c>
      <c r="E136">
        <v>16870.027459102381</v>
      </c>
      <c r="F136">
        <v>3561.9208855671541</v>
      </c>
      <c r="G136">
        <v>32442.360498273807</v>
      </c>
      <c r="H136">
        <v>0</v>
      </c>
      <c r="I136">
        <v>0</v>
      </c>
      <c r="K136">
        <v>0</v>
      </c>
    </row>
    <row r="137" spans="1:11" x14ac:dyDescent="0.35">
      <c r="A137" t="s">
        <v>286</v>
      </c>
      <c r="B137" t="s">
        <v>287</v>
      </c>
      <c r="C137">
        <v>41878.735972904535</v>
      </c>
      <c r="D137">
        <v>20101.793266994177</v>
      </c>
      <c r="E137">
        <v>21776.942705910358</v>
      </c>
      <c r="F137">
        <v>4597.9621097847712</v>
      </c>
      <c r="G137">
        <v>24964.031972904537</v>
      </c>
      <c r="H137">
        <v>16914.703999999998</v>
      </c>
      <c r="I137">
        <v>0</v>
      </c>
      <c r="K137">
        <v>0</v>
      </c>
    </row>
    <row r="138" spans="1:11" x14ac:dyDescent="0.35">
      <c r="A138" t="s">
        <v>288</v>
      </c>
      <c r="B138" t="s">
        <v>289</v>
      </c>
      <c r="C138">
        <v>51175.148633331715</v>
      </c>
      <c r="D138">
        <v>24564.071343999221</v>
      </c>
      <c r="E138">
        <v>26611.077289332494</v>
      </c>
      <c r="F138">
        <v>5618.6364968346397</v>
      </c>
      <c r="G138">
        <v>35031.163633331715</v>
      </c>
      <c r="H138">
        <v>16143.984999999999</v>
      </c>
      <c r="I138">
        <v>0</v>
      </c>
      <c r="K138">
        <v>0</v>
      </c>
    </row>
    <row r="139" spans="1:11" x14ac:dyDescent="0.35">
      <c r="A139" t="s">
        <v>290</v>
      </c>
      <c r="B139" t="s">
        <v>291</v>
      </c>
      <c r="C139">
        <v>34700.729688539548</v>
      </c>
      <c r="D139">
        <v>16656.350250498981</v>
      </c>
      <c r="E139">
        <v>18044.379438040567</v>
      </c>
      <c r="F139">
        <v>3809.8723990384665</v>
      </c>
      <c r="G139">
        <v>24387.855688539545</v>
      </c>
      <c r="H139">
        <v>10312.874</v>
      </c>
      <c r="I139">
        <v>0</v>
      </c>
      <c r="K139">
        <v>0</v>
      </c>
    </row>
    <row r="140" spans="1:11" x14ac:dyDescent="0.35">
      <c r="A140" t="s">
        <v>292</v>
      </c>
      <c r="B140" t="s">
        <v>293</v>
      </c>
      <c r="C140">
        <v>65752.646404955813</v>
      </c>
      <c r="D140">
        <v>31561.270274378789</v>
      </c>
      <c r="E140">
        <v>34191.376130577024</v>
      </c>
      <c r="F140">
        <v>7219.1332848171069</v>
      </c>
      <c r="G140">
        <v>65752.646404955813</v>
      </c>
      <c r="H140">
        <v>0</v>
      </c>
      <c r="I140">
        <v>0</v>
      </c>
      <c r="K140">
        <v>0</v>
      </c>
    </row>
    <row r="141" spans="1:11" x14ac:dyDescent="0.35">
      <c r="A141" t="s">
        <v>294</v>
      </c>
      <c r="B141" t="s">
        <v>295</v>
      </c>
      <c r="C141">
        <v>51530.088243982143</v>
      </c>
      <c r="D141">
        <v>24734.442357111428</v>
      </c>
      <c r="E141">
        <v>26795.645886870716</v>
      </c>
      <c r="F141">
        <v>5657.6061276775654</v>
      </c>
      <c r="G141">
        <v>45411.853243982143</v>
      </c>
      <c r="H141">
        <v>6118.2349999999997</v>
      </c>
      <c r="I141">
        <v>0</v>
      </c>
      <c r="K141">
        <v>0</v>
      </c>
    </row>
    <row r="142" spans="1:11" x14ac:dyDescent="0.35">
      <c r="A142" t="s">
        <v>296</v>
      </c>
      <c r="B142" t="s">
        <v>297</v>
      </c>
      <c r="C142">
        <v>77037.212865427617</v>
      </c>
      <c r="D142">
        <v>36977.862175405251</v>
      </c>
      <c r="E142">
        <v>40059.350690022366</v>
      </c>
      <c r="F142">
        <v>8458.0916202398275</v>
      </c>
      <c r="G142">
        <v>77037.212865427617</v>
      </c>
      <c r="H142">
        <v>0</v>
      </c>
      <c r="I142">
        <v>0</v>
      </c>
      <c r="K142">
        <v>0</v>
      </c>
    </row>
    <row r="143" spans="1:11" x14ac:dyDescent="0.35">
      <c r="A143" t="s">
        <v>298</v>
      </c>
      <c r="B143" t="s">
        <v>299</v>
      </c>
      <c r="C143">
        <v>65793.354410836895</v>
      </c>
      <c r="D143">
        <v>31580.810117201709</v>
      </c>
      <c r="E143">
        <v>34212.54429363519</v>
      </c>
      <c r="F143">
        <v>7223.6027097951492</v>
      </c>
      <c r="G143">
        <v>65793.354410836895</v>
      </c>
      <c r="H143">
        <v>0</v>
      </c>
      <c r="I143">
        <v>0</v>
      </c>
      <c r="K143">
        <v>0</v>
      </c>
    </row>
    <row r="144" spans="1:11" x14ac:dyDescent="0.35">
      <c r="A144" t="s">
        <v>300</v>
      </c>
      <c r="B144" t="s">
        <v>301</v>
      </c>
      <c r="C144">
        <v>101192.42186456853</v>
      </c>
      <c r="D144">
        <v>48572.362494992893</v>
      </c>
      <c r="E144">
        <v>52620.05936957564</v>
      </c>
      <c r="F144">
        <v>11110.147207682598</v>
      </c>
      <c r="G144">
        <v>101192.42186456853</v>
      </c>
      <c r="H144">
        <v>0</v>
      </c>
      <c r="I144">
        <v>0</v>
      </c>
      <c r="K144">
        <v>0</v>
      </c>
    </row>
    <row r="145" spans="1:11" x14ac:dyDescent="0.35">
      <c r="A145" t="s">
        <v>302</v>
      </c>
      <c r="B145" t="s">
        <v>303</v>
      </c>
      <c r="C145">
        <v>54595.580491205903</v>
      </c>
      <c r="D145">
        <v>26205.878635778834</v>
      </c>
      <c r="E145">
        <v>28389.701855427069</v>
      </c>
      <c r="F145">
        <v>5994.1735257407072</v>
      </c>
      <c r="G145">
        <v>54595.580491205903</v>
      </c>
      <c r="H145">
        <v>0</v>
      </c>
      <c r="I145">
        <v>0</v>
      </c>
      <c r="K145">
        <v>0</v>
      </c>
    </row>
    <row r="146" spans="1:11" x14ac:dyDescent="0.35">
      <c r="A146" t="s">
        <v>304</v>
      </c>
      <c r="B146" t="s">
        <v>305</v>
      </c>
      <c r="C146">
        <v>47505.090749860567</v>
      </c>
      <c r="D146">
        <v>22802.443559933072</v>
      </c>
      <c r="E146">
        <v>24702.647189927495</v>
      </c>
      <c r="F146">
        <v>5215.6924562161457</v>
      </c>
      <c r="G146">
        <v>47505.090749860567</v>
      </c>
      <c r="H146">
        <v>0</v>
      </c>
      <c r="I146">
        <v>0</v>
      </c>
      <c r="K146">
        <v>0</v>
      </c>
    </row>
    <row r="147" spans="1:11" x14ac:dyDescent="0.35">
      <c r="A147" t="s">
        <v>306</v>
      </c>
      <c r="B147" t="s">
        <v>307</v>
      </c>
      <c r="C147">
        <v>25398.344321004417</v>
      </c>
      <c r="D147">
        <v>12191.20527408212</v>
      </c>
      <c r="E147">
        <v>13207.139046922297</v>
      </c>
      <c r="F147">
        <v>2788.5422548283786</v>
      </c>
      <c r="G147">
        <v>25398.344321004417</v>
      </c>
      <c r="H147">
        <v>0</v>
      </c>
      <c r="I147">
        <v>0</v>
      </c>
      <c r="K147">
        <v>0</v>
      </c>
    </row>
    <row r="148" spans="1:11" x14ac:dyDescent="0.35">
      <c r="A148" t="s">
        <v>308</v>
      </c>
      <c r="B148" t="s">
        <v>309</v>
      </c>
      <c r="C148">
        <v>160556.07464486925</v>
      </c>
      <c r="D148">
        <v>77066.915829537233</v>
      </c>
      <c r="E148">
        <v>83489.158815332019</v>
      </c>
      <c r="F148">
        <v>17627.818284451521</v>
      </c>
      <c r="G148">
        <v>160556.07464486925</v>
      </c>
      <c r="H148">
        <v>0</v>
      </c>
      <c r="I148">
        <v>0</v>
      </c>
      <c r="K148">
        <v>0</v>
      </c>
    </row>
    <row r="149" spans="1:11" x14ac:dyDescent="0.35">
      <c r="A149" t="s">
        <v>310</v>
      </c>
      <c r="B149" t="s">
        <v>311</v>
      </c>
      <c r="C149">
        <v>100261.34509382918</v>
      </c>
      <c r="D149">
        <v>48125.445645038002</v>
      </c>
      <c r="E149">
        <v>52135.899448791177</v>
      </c>
      <c r="F149">
        <v>11007.922161637032</v>
      </c>
      <c r="G149">
        <v>100261.34509382918</v>
      </c>
      <c r="H149">
        <v>0</v>
      </c>
      <c r="I149">
        <v>0</v>
      </c>
      <c r="K149">
        <v>0</v>
      </c>
    </row>
    <row r="150" spans="1:11" x14ac:dyDescent="0.35">
      <c r="A150" t="s">
        <v>312</v>
      </c>
      <c r="B150" t="s">
        <v>313</v>
      </c>
      <c r="C150">
        <v>105935.77563656334</v>
      </c>
      <c r="D150">
        <v>50849.172305550404</v>
      </c>
      <c r="E150">
        <v>55086.603331012935</v>
      </c>
      <c r="F150">
        <v>11630.930856239891</v>
      </c>
      <c r="G150">
        <v>105935.77563656334</v>
      </c>
      <c r="H150">
        <v>0</v>
      </c>
      <c r="I150">
        <v>0</v>
      </c>
      <c r="K150">
        <v>0</v>
      </c>
    </row>
    <row r="151" spans="1:11" x14ac:dyDescent="0.35">
      <c r="A151" t="s">
        <v>314</v>
      </c>
      <c r="B151" t="s">
        <v>315</v>
      </c>
      <c r="C151">
        <v>94304.755037754207</v>
      </c>
      <c r="D151">
        <v>45266.28241812202</v>
      </c>
      <c r="E151">
        <v>49038.472619632186</v>
      </c>
      <c r="F151">
        <v>10353.934529367672</v>
      </c>
      <c r="G151">
        <v>94304.755037754207</v>
      </c>
      <c r="H151">
        <v>0</v>
      </c>
      <c r="I151">
        <v>0</v>
      </c>
      <c r="K151">
        <v>0</v>
      </c>
    </row>
    <row r="152" spans="1:11" x14ac:dyDescent="0.35">
      <c r="A152" t="s">
        <v>316</v>
      </c>
      <c r="B152" t="s">
        <v>317</v>
      </c>
      <c r="C152">
        <v>63437.700714366598</v>
      </c>
      <c r="D152">
        <v>30450.096342895966</v>
      </c>
      <c r="E152">
        <v>32987.604371470632</v>
      </c>
      <c r="F152">
        <v>6964.9701081055318</v>
      </c>
      <c r="G152">
        <v>63437.700714366598</v>
      </c>
      <c r="H152">
        <v>0</v>
      </c>
      <c r="I152">
        <v>0</v>
      </c>
      <c r="K152">
        <v>0</v>
      </c>
    </row>
    <row r="153" spans="1:11" x14ac:dyDescent="0.35">
      <c r="A153" t="s">
        <v>318</v>
      </c>
      <c r="B153" t="s">
        <v>319</v>
      </c>
      <c r="C153">
        <v>106419.99991328604</v>
      </c>
      <c r="D153">
        <v>51081.599958377294</v>
      </c>
      <c r="E153">
        <v>55338.399954908746</v>
      </c>
      <c r="F153">
        <v>11684.094945969091</v>
      </c>
      <c r="G153">
        <v>106419.99991328604</v>
      </c>
      <c r="H153">
        <v>0</v>
      </c>
      <c r="I153">
        <v>0</v>
      </c>
      <c r="K153">
        <v>0</v>
      </c>
    </row>
    <row r="154" spans="1:11" x14ac:dyDescent="0.35">
      <c r="A154" t="s">
        <v>320</v>
      </c>
      <c r="B154" t="s">
        <v>321</v>
      </c>
      <c r="C154">
        <v>146817.00010834413</v>
      </c>
      <c r="D154">
        <v>70472.160052005187</v>
      </c>
      <c r="E154">
        <v>76344.840056338944</v>
      </c>
      <c r="F154">
        <v>16119.373899135708</v>
      </c>
      <c r="G154">
        <v>146817.00010834413</v>
      </c>
      <c r="H154">
        <v>0</v>
      </c>
      <c r="I154">
        <v>0</v>
      </c>
      <c r="K154">
        <v>0</v>
      </c>
    </row>
    <row r="155" spans="1:11" x14ac:dyDescent="0.35">
      <c r="A155" t="s">
        <v>322</v>
      </c>
      <c r="B155" t="s">
        <v>323</v>
      </c>
      <c r="C155">
        <v>86269.689603076695</v>
      </c>
      <c r="D155">
        <v>41409.451009476812</v>
      </c>
      <c r="E155">
        <v>44860.238593599883</v>
      </c>
      <c r="F155">
        <v>9471.7463362428425</v>
      </c>
      <c r="G155">
        <v>86269.689603076695</v>
      </c>
      <c r="H155">
        <v>0</v>
      </c>
      <c r="I155">
        <v>0</v>
      </c>
      <c r="K155">
        <v>0</v>
      </c>
    </row>
    <row r="156" spans="1:11" x14ac:dyDescent="0.35">
      <c r="A156" t="s">
        <v>324</v>
      </c>
      <c r="B156" t="s">
        <v>325</v>
      </c>
      <c r="C156">
        <v>55588.415218390532</v>
      </c>
      <c r="D156">
        <v>26682.439304827454</v>
      </c>
      <c r="E156">
        <v>28905.975913563077</v>
      </c>
      <c r="F156">
        <v>6103.1791189330852</v>
      </c>
      <c r="G156">
        <v>55588.415218390532</v>
      </c>
      <c r="H156">
        <v>0</v>
      </c>
      <c r="I156">
        <v>0</v>
      </c>
      <c r="K156">
        <v>0</v>
      </c>
    </row>
    <row r="157" spans="1:11" x14ac:dyDescent="0.35">
      <c r="A157" t="s">
        <v>326</v>
      </c>
      <c r="B157" t="s">
        <v>327</v>
      </c>
      <c r="C157">
        <v>38689.420007136803</v>
      </c>
      <c r="D157">
        <v>18570.921603425664</v>
      </c>
      <c r="E157">
        <v>20118.498403711139</v>
      </c>
      <c r="F157">
        <v>4247.799822742023</v>
      </c>
      <c r="G157">
        <v>38689.420007136803</v>
      </c>
      <c r="H157">
        <v>0</v>
      </c>
      <c r="I157">
        <v>0</v>
      </c>
      <c r="K157">
        <v>0</v>
      </c>
    </row>
    <row r="158" spans="1:11" x14ac:dyDescent="0.35">
      <c r="A158" t="s">
        <v>328</v>
      </c>
      <c r="B158" t="s">
        <v>329</v>
      </c>
      <c r="C158">
        <v>81648.787514159296</v>
      </c>
      <c r="D158">
        <v>39191.418006796463</v>
      </c>
      <c r="E158">
        <v>42457.369507362833</v>
      </c>
      <c r="F158">
        <v>8964.406937756361</v>
      </c>
      <c r="G158">
        <v>81648.787514159296</v>
      </c>
      <c r="H158">
        <v>0</v>
      </c>
      <c r="I158">
        <v>0</v>
      </c>
      <c r="K158">
        <v>0</v>
      </c>
    </row>
    <row r="159" spans="1:11" x14ac:dyDescent="0.35">
      <c r="A159" t="s">
        <v>330</v>
      </c>
      <c r="B159" t="s">
        <v>331</v>
      </c>
      <c r="C159">
        <v>95206.40257567371</v>
      </c>
      <c r="D159">
        <v>45699.073236323376</v>
      </c>
      <c r="E159">
        <v>49507.329339350334</v>
      </c>
      <c r="F159">
        <v>10452.928472700081</v>
      </c>
      <c r="G159">
        <v>95206.40257567371</v>
      </c>
      <c r="H159">
        <v>0</v>
      </c>
      <c r="I159">
        <v>0</v>
      </c>
      <c r="K159">
        <v>0</v>
      </c>
    </row>
    <row r="160" spans="1:11" x14ac:dyDescent="0.35">
      <c r="A160" t="s">
        <v>332</v>
      </c>
      <c r="B160" t="s">
        <v>333</v>
      </c>
      <c r="C160">
        <v>61012.591210423103</v>
      </c>
      <c r="D160">
        <v>29286.043781003089</v>
      </c>
      <c r="E160">
        <v>31726.547429420014</v>
      </c>
      <c r="F160">
        <v>6698.711794616187</v>
      </c>
      <c r="G160">
        <v>61012.591210423103</v>
      </c>
      <c r="H160">
        <v>0</v>
      </c>
      <c r="I160">
        <v>0</v>
      </c>
      <c r="K160">
        <v>0</v>
      </c>
    </row>
    <row r="161" spans="1:11" x14ac:dyDescent="0.35">
      <c r="A161" t="s">
        <v>334</v>
      </c>
      <c r="B161" t="s">
        <v>335</v>
      </c>
      <c r="C161">
        <v>60992.31826541276</v>
      </c>
      <c r="D161">
        <v>29276.312767398125</v>
      </c>
      <c r="E161">
        <v>31716.005498014634</v>
      </c>
      <c r="F161">
        <v>6696.4859816625285</v>
      </c>
      <c r="G161">
        <v>60992.31826541276</v>
      </c>
      <c r="H161">
        <v>0</v>
      </c>
      <c r="I161">
        <v>0</v>
      </c>
      <c r="K161">
        <v>0</v>
      </c>
    </row>
    <row r="162" spans="1:11" x14ac:dyDescent="0.35">
      <c r="A162" t="s">
        <v>336</v>
      </c>
      <c r="B162" t="s">
        <v>337</v>
      </c>
      <c r="C162">
        <v>94384.517444352314</v>
      </c>
      <c r="D162">
        <v>45304.568373289112</v>
      </c>
      <c r="E162">
        <v>49079.949071063202</v>
      </c>
      <c r="F162">
        <v>10362.691826234528</v>
      </c>
      <c r="G162">
        <v>94384.517444352314</v>
      </c>
      <c r="H162">
        <v>0</v>
      </c>
      <c r="I162">
        <v>0</v>
      </c>
      <c r="K162">
        <v>0</v>
      </c>
    </row>
    <row r="163" spans="1:11" x14ac:dyDescent="0.35">
      <c r="A163" t="s">
        <v>338</v>
      </c>
      <c r="B163" t="s">
        <v>339</v>
      </c>
      <c r="C163">
        <v>35476.656738036938</v>
      </c>
      <c r="D163">
        <v>17028.79523425773</v>
      </c>
      <c r="E163">
        <v>18447.861503779208</v>
      </c>
      <c r="F163">
        <v>3895.0632026924832</v>
      </c>
      <c r="G163">
        <v>35476.656738036938</v>
      </c>
      <c r="H163">
        <v>0</v>
      </c>
      <c r="I163">
        <v>0</v>
      </c>
      <c r="K163">
        <v>0</v>
      </c>
    </row>
    <row r="164" spans="1:11" x14ac:dyDescent="0.35">
      <c r="A164" t="s">
        <v>340</v>
      </c>
      <c r="B164" t="s">
        <v>341</v>
      </c>
      <c r="C164">
        <v>47183.783966475108</v>
      </c>
      <c r="D164">
        <v>22648.216303908051</v>
      </c>
      <c r="E164">
        <v>24535.567662567057</v>
      </c>
      <c r="F164">
        <v>5180.4154503251611</v>
      </c>
      <c r="G164">
        <v>47183.783966475108</v>
      </c>
      <c r="H164">
        <v>0</v>
      </c>
      <c r="I164">
        <v>0</v>
      </c>
      <c r="K164">
        <v>0</v>
      </c>
    </row>
    <row r="165" spans="1:11" x14ac:dyDescent="0.35">
      <c r="A165" t="s">
        <v>342</v>
      </c>
      <c r="B165" t="s">
        <v>343</v>
      </c>
      <c r="C165">
        <v>70817.385041496251</v>
      </c>
      <c r="D165">
        <v>33992.344819918202</v>
      </c>
      <c r="E165">
        <v>36825.040221578049</v>
      </c>
      <c r="F165">
        <v>7775.2025119743666</v>
      </c>
      <c r="G165">
        <v>70817.385041496251</v>
      </c>
      <c r="H165">
        <v>0</v>
      </c>
      <c r="I165">
        <v>0</v>
      </c>
      <c r="K165">
        <v>0</v>
      </c>
    </row>
    <row r="166" spans="1:11" x14ac:dyDescent="0.35">
      <c r="A166" t="s">
        <v>344</v>
      </c>
      <c r="B166" t="s">
        <v>345</v>
      </c>
      <c r="C166">
        <v>127365.94022931159</v>
      </c>
      <c r="D166">
        <v>61135.651310069559</v>
      </c>
      <c r="E166">
        <v>66230.288919242026</v>
      </c>
      <c r="F166">
        <v>13983.797591942222</v>
      </c>
      <c r="G166">
        <v>127365.94022931159</v>
      </c>
      <c r="H166">
        <v>0</v>
      </c>
      <c r="I166">
        <v>0</v>
      </c>
      <c r="K166">
        <v>0</v>
      </c>
    </row>
    <row r="167" spans="1:11" x14ac:dyDescent="0.35">
      <c r="A167" t="s">
        <v>346</v>
      </c>
      <c r="B167" t="s">
        <v>347</v>
      </c>
      <c r="C167">
        <v>101668.81922692507</v>
      </c>
      <c r="D167">
        <v>48801.033228924032</v>
      </c>
      <c r="E167">
        <v>52867.78599800104</v>
      </c>
      <c r="F167">
        <v>11162.451962600082</v>
      </c>
      <c r="G167">
        <v>101668.81922692507</v>
      </c>
      <c r="H167">
        <v>0</v>
      </c>
      <c r="I167">
        <v>0</v>
      </c>
      <c r="K167">
        <v>0</v>
      </c>
    </row>
    <row r="168" spans="1:11" x14ac:dyDescent="0.35">
      <c r="A168" t="s">
        <v>348</v>
      </c>
      <c r="B168" t="s">
        <v>349</v>
      </c>
      <c r="C168">
        <v>99805.639730399736</v>
      </c>
      <c r="D168">
        <v>47906.707070591874</v>
      </c>
      <c r="E168">
        <v>51898.932659807862</v>
      </c>
      <c r="F168">
        <v>10957.889228560209</v>
      </c>
      <c r="G168">
        <v>99805.639730399736</v>
      </c>
      <c r="H168">
        <v>0</v>
      </c>
      <c r="I168">
        <v>0</v>
      </c>
      <c r="K168">
        <v>0</v>
      </c>
    </row>
    <row r="169" spans="1:11" x14ac:dyDescent="0.35">
      <c r="A169" t="s">
        <v>350</v>
      </c>
      <c r="B169" t="s">
        <v>351</v>
      </c>
      <c r="C169">
        <v>31395.573121638598</v>
      </c>
      <c r="D169">
        <v>15069.875098386527</v>
      </c>
      <c r="E169">
        <v>16325.698023252071</v>
      </c>
      <c r="F169">
        <v>3446.9917077169976</v>
      </c>
      <c r="G169">
        <v>31395.573121638598</v>
      </c>
      <c r="H169">
        <v>0</v>
      </c>
      <c r="I169">
        <v>0</v>
      </c>
      <c r="K169">
        <v>0</v>
      </c>
    </row>
    <row r="170" spans="1:11" x14ac:dyDescent="0.35">
      <c r="A170" t="s">
        <v>352</v>
      </c>
      <c r="B170" t="s">
        <v>353</v>
      </c>
      <c r="C170">
        <v>165798.58852258316</v>
      </c>
      <c r="D170">
        <v>79583.322490839913</v>
      </c>
      <c r="E170">
        <v>86215.266031743246</v>
      </c>
      <c r="F170">
        <v>18203.405861529904</v>
      </c>
      <c r="G170">
        <v>165798.58852258316</v>
      </c>
      <c r="H170">
        <v>0</v>
      </c>
      <c r="I170">
        <v>0</v>
      </c>
      <c r="K170">
        <v>0</v>
      </c>
    </row>
    <row r="171" spans="1:11" x14ac:dyDescent="0.35">
      <c r="A171" t="s">
        <v>354</v>
      </c>
      <c r="B171" t="s">
        <v>355</v>
      </c>
      <c r="C171">
        <v>110356.63459712607</v>
      </c>
      <c r="D171">
        <v>52971.184606620511</v>
      </c>
      <c r="E171">
        <v>57385.449990505564</v>
      </c>
      <c r="F171">
        <v>12116.307062592477</v>
      </c>
      <c r="G171">
        <v>110356.63459712607</v>
      </c>
      <c r="H171">
        <v>0</v>
      </c>
      <c r="I171">
        <v>0</v>
      </c>
      <c r="K171">
        <v>0</v>
      </c>
    </row>
    <row r="172" spans="1:11" x14ac:dyDescent="0.35">
      <c r="A172" t="s">
        <v>356</v>
      </c>
      <c r="B172" t="s">
        <v>357</v>
      </c>
      <c r="C172">
        <v>51728.536832315898</v>
      </c>
      <c r="D172">
        <v>24829.697679511632</v>
      </c>
      <c r="E172">
        <v>26898.839152804267</v>
      </c>
      <c r="F172">
        <v>5679.3942516192528</v>
      </c>
      <c r="G172">
        <v>51728.536832315898</v>
      </c>
      <c r="H172">
        <v>0</v>
      </c>
      <c r="I172">
        <v>0</v>
      </c>
      <c r="K172">
        <v>0</v>
      </c>
    </row>
    <row r="173" spans="1:11" x14ac:dyDescent="0.35">
      <c r="A173" t="s">
        <v>358</v>
      </c>
      <c r="B173" t="s">
        <v>359</v>
      </c>
      <c r="C173">
        <v>83455.870044763855</v>
      </c>
      <c r="D173">
        <v>40058.817621486647</v>
      </c>
      <c r="E173">
        <v>43397.052423277208</v>
      </c>
      <c r="F173">
        <v>9162.8106577337167</v>
      </c>
      <c r="G173">
        <v>83455.870044763855</v>
      </c>
      <c r="H173">
        <v>0</v>
      </c>
      <c r="I173">
        <v>0</v>
      </c>
      <c r="K173">
        <v>0</v>
      </c>
    </row>
    <row r="174" spans="1:11" x14ac:dyDescent="0.35">
      <c r="A174" t="s">
        <v>360</v>
      </c>
      <c r="B174" t="s">
        <v>361</v>
      </c>
      <c r="C174">
        <v>111030.84321716975</v>
      </c>
      <c r="D174">
        <v>53294.804744241475</v>
      </c>
      <c r="E174">
        <v>57736.038472928274</v>
      </c>
      <c r="F174">
        <v>12190.329967463742</v>
      </c>
      <c r="G174">
        <v>111030.84321716975</v>
      </c>
      <c r="H174">
        <v>0</v>
      </c>
      <c r="I174">
        <v>0</v>
      </c>
      <c r="K174">
        <v>0</v>
      </c>
    </row>
    <row r="175" spans="1:11" x14ac:dyDescent="0.35">
      <c r="A175" t="s">
        <v>362</v>
      </c>
      <c r="B175" t="s">
        <v>363</v>
      </c>
      <c r="C175">
        <v>135264.4193421535</v>
      </c>
      <c r="D175">
        <v>64926.921284233678</v>
      </c>
      <c r="E175">
        <v>70337.498057919816</v>
      </c>
      <c r="F175">
        <v>14850.989660711215</v>
      </c>
      <c r="G175">
        <v>135264.4193421535</v>
      </c>
      <c r="H175">
        <v>0</v>
      </c>
      <c r="I175">
        <v>0</v>
      </c>
      <c r="K175">
        <v>0</v>
      </c>
    </row>
    <row r="176" spans="1:11" x14ac:dyDescent="0.35">
      <c r="A176" t="s">
        <v>364</v>
      </c>
      <c r="B176" t="s">
        <v>365</v>
      </c>
      <c r="C176">
        <v>75470.881050213429</v>
      </c>
      <c r="D176">
        <v>36226.022904102443</v>
      </c>
      <c r="E176">
        <v>39244.858146110986</v>
      </c>
      <c r="F176">
        <v>8286.1204713884181</v>
      </c>
      <c r="G176">
        <v>75470.881050213429</v>
      </c>
      <c r="H176">
        <v>0</v>
      </c>
      <c r="I176">
        <v>0</v>
      </c>
      <c r="K176">
        <v>0</v>
      </c>
    </row>
    <row r="177" spans="1:11" x14ac:dyDescent="0.35">
      <c r="A177" t="s">
        <v>366</v>
      </c>
      <c r="B177" t="s">
        <v>367</v>
      </c>
      <c r="C177">
        <v>101888.06428975945</v>
      </c>
      <c r="D177">
        <v>48906.270859084536</v>
      </c>
      <c r="E177">
        <v>52981.793430674916</v>
      </c>
      <c r="F177">
        <v>11186.523378994361</v>
      </c>
      <c r="G177">
        <v>101888.06428975945</v>
      </c>
      <c r="H177">
        <v>0</v>
      </c>
      <c r="I177">
        <v>0</v>
      </c>
      <c r="K177">
        <v>0</v>
      </c>
    </row>
    <row r="178" spans="1:11" x14ac:dyDescent="0.35">
      <c r="A178" t="s">
        <v>368</v>
      </c>
      <c r="B178" t="s">
        <v>369</v>
      </c>
      <c r="C178">
        <v>96687.891609488739</v>
      </c>
      <c r="D178">
        <v>46410.187972554595</v>
      </c>
      <c r="E178">
        <v>50277.703636934144</v>
      </c>
      <c r="F178">
        <v>10615.584538727251</v>
      </c>
      <c r="G178">
        <v>96687.891609488739</v>
      </c>
      <c r="H178">
        <v>0</v>
      </c>
      <c r="I178">
        <v>0</v>
      </c>
      <c r="K178">
        <v>0</v>
      </c>
    </row>
    <row r="179" spans="1:11" x14ac:dyDescent="0.35">
      <c r="A179" t="s">
        <v>370</v>
      </c>
      <c r="B179" t="s">
        <v>371</v>
      </c>
      <c r="C179">
        <v>170631.45564059581</v>
      </c>
      <c r="D179">
        <v>81903.098707485988</v>
      </c>
      <c r="E179">
        <v>88728.356933109826</v>
      </c>
      <c r="F179">
        <v>18734.017384872539</v>
      </c>
      <c r="G179">
        <v>164112.19064059583</v>
      </c>
      <c r="H179">
        <v>2949.7609999999995</v>
      </c>
      <c r="I179">
        <v>1970.7759999999998</v>
      </c>
      <c r="K179">
        <v>1598.7279999999998</v>
      </c>
    </row>
    <row r="180" spans="1:11" x14ac:dyDescent="0.35">
      <c r="A180" t="s">
        <v>372</v>
      </c>
      <c r="B180" t="s">
        <v>373</v>
      </c>
      <c r="C180">
        <v>159294.60121294262</v>
      </c>
      <c r="D180">
        <v>76461.408582212462</v>
      </c>
      <c r="E180">
        <v>82833.192630730162</v>
      </c>
      <c r="F180">
        <v>17489.31823406195</v>
      </c>
      <c r="G180">
        <v>149146.18321294262</v>
      </c>
      <c r="H180">
        <v>7903.3239999999996</v>
      </c>
      <c r="I180">
        <v>871.14499999999987</v>
      </c>
      <c r="K180">
        <v>1373.9489999999998</v>
      </c>
    </row>
    <row r="181" spans="1:11" x14ac:dyDescent="0.35">
      <c r="A181" t="s">
        <v>374</v>
      </c>
      <c r="B181" t="s">
        <v>375</v>
      </c>
      <c r="C181">
        <v>82886.358686162886</v>
      </c>
      <c r="D181">
        <v>39785.452169358185</v>
      </c>
      <c r="E181">
        <v>43100.906516804702</v>
      </c>
      <c r="F181">
        <v>9100.2827044155092</v>
      </c>
      <c r="G181">
        <v>81729.437686162884</v>
      </c>
      <c r="H181">
        <v>404.06299999999993</v>
      </c>
      <c r="I181">
        <v>299.92999999999995</v>
      </c>
      <c r="K181">
        <v>452.92799999999994</v>
      </c>
    </row>
    <row r="182" spans="1:11" x14ac:dyDescent="0.35">
      <c r="A182" t="s">
        <v>376</v>
      </c>
      <c r="B182" t="s">
        <v>377</v>
      </c>
      <c r="C182">
        <v>165216.39631476218</v>
      </c>
      <c r="D182">
        <v>79303.87023108585</v>
      </c>
      <c r="E182">
        <v>85912.526083676334</v>
      </c>
      <c r="F182">
        <v>18139.485648801779</v>
      </c>
      <c r="G182">
        <v>161139.37031476217</v>
      </c>
      <c r="H182">
        <v>2224.8739999999998</v>
      </c>
      <c r="I182">
        <v>1852.1519999999998</v>
      </c>
      <c r="K182">
        <v>0</v>
      </c>
    </row>
    <row r="183" spans="1:11" x14ac:dyDescent="0.35">
      <c r="A183" t="s">
        <v>378</v>
      </c>
      <c r="B183" t="s">
        <v>379</v>
      </c>
      <c r="C183">
        <v>130871.66981324551</v>
      </c>
      <c r="D183">
        <v>62818.401510357842</v>
      </c>
      <c r="E183">
        <v>68053.268302887664</v>
      </c>
      <c r="F183">
        <v>14368.699653086303</v>
      </c>
      <c r="G183">
        <v>129720.47781324551</v>
      </c>
      <c r="H183">
        <v>905.85599999999988</v>
      </c>
      <c r="I183">
        <v>245.33599999999998</v>
      </c>
      <c r="K183">
        <v>0</v>
      </c>
    </row>
    <row r="184" spans="1:11" x14ac:dyDescent="0.35">
      <c r="A184" t="s">
        <v>380</v>
      </c>
      <c r="B184" t="s">
        <v>381</v>
      </c>
      <c r="C184">
        <v>83052.877399180274</v>
      </c>
      <c r="D184">
        <v>39865.381151606533</v>
      </c>
      <c r="E184">
        <v>43187.496247573741</v>
      </c>
      <c r="F184">
        <v>9118.5651743907129</v>
      </c>
      <c r="G184">
        <v>68120.070399180273</v>
      </c>
      <c r="H184">
        <v>9348.3799999999992</v>
      </c>
      <c r="I184">
        <v>5584.4269999999997</v>
      </c>
      <c r="K184">
        <v>0</v>
      </c>
    </row>
    <row r="185" spans="1:11" x14ac:dyDescent="0.35">
      <c r="A185" t="s">
        <v>382</v>
      </c>
      <c r="B185" t="s">
        <v>383</v>
      </c>
      <c r="C185">
        <v>143273.18632971577</v>
      </c>
      <c r="D185">
        <v>68771.129438263568</v>
      </c>
      <c r="E185">
        <v>74502.056891452201</v>
      </c>
      <c r="F185">
        <v>15730.290487238823</v>
      </c>
      <c r="G185">
        <v>142034.71132971576</v>
      </c>
      <c r="H185">
        <v>993.1389999999999</v>
      </c>
      <c r="I185">
        <v>245.33599999999998</v>
      </c>
      <c r="K185">
        <v>0</v>
      </c>
    </row>
    <row r="186" spans="1:11" x14ac:dyDescent="0.35">
      <c r="A186" t="s">
        <v>384</v>
      </c>
      <c r="B186" t="s">
        <v>385</v>
      </c>
      <c r="C186">
        <v>128916.82131992541</v>
      </c>
      <c r="D186">
        <v>61880.074233564192</v>
      </c>
      <c r="E186">
        <v>67036.747086361211</v>
      </c>
      <c r="F186">
        <v>14154.072370436916</v>
      </c>
      <c r="G186">
        <v>125732.17131992542</v>
      </c>
      <c r="H186">
        <v>601.54499999999996</v>
      </c>
      <c r="I186">
        <v>2583.1049999999996</v>
      </c>
      <c r="K186">
        <v>0</v>
      </c>
    </row>
    <row r="187" spans="1:11" x14ac:dyDescent="0.35">
      <c r="A187" t="s">
        <v>386</v>
      </c>
      <c r="B187" t="s">
        <v>387</v>
      </c>
      <c r="C187">
        <v>154103.8857553933</v>
      </c>
      <c r="D187">
        <v>73969.865162588787</v>
      </c>
      <c r="E187">
        <v>80134.020592804518</v>
      </c>
      <c r="F187">
        <v>16919.417723885916</v>
      </c>
      <c r="G187">
        <v>150704.90375539332</v>
      </c>
      <c r="H187">
        <v>116.60199999999999</v>
      </c>
      <c r="I187">
        <v>280.38399999999996</v>
      </c>
      <c r="K187">
        <v>3001.9959999999996</v>
      </c>
    </row>
    <row r="188" spans="1:11" x14ac:dyDescent="0.35">
      <c r="A188" t="s">
        <v>388</v>
      </c>
      <c r="B188" t="s">
        <v>389</v>
      </c>
      <c r="C188">
        <v>97469.408950594254</v>
      </c>
      <c r="D188">
        <v>46785.316296285237</v>
      </c>
      <c r="E188">
        <v>50684.092654309017</v>
      </c>
      <c r="F188">
        <v>10701.389113269992</v>
      </c>
      <c r="G188">
        <v>96028.059950594252</v>
      </c>
      <c r="H188">
        <v>79.194999999999993</v>
      </c>
      <c r="I188">
        <v>223.76799999999997</v>
      </c>
      <c r="K188">
        <v>1138.386</v>
      </c>
    </row>
    <row r="189" spans="1:11" x14ac:dyDescent="0.35">
      <c r="A189" t="s">
        <v>390</v>
      </c>
      <c r="B189" t="s">
        <v>391</v>
      </c>
      <c r="C189">
        <v>132373.34957748186</v>
      </c>
      <c r="D189">
        <v>63539.207797191288</v>
      </c>
      <c r="E189">
        <v>68834.141780290563</v>
      </c>
      <c r="F189">
        <v>14533.572505539551</v>
      </c>
      <c r="G189">
        <v>129087.26257748184</v>
      </c>
      <c r="H189">
        <v>872.82999999999993</v>
      </c>
      <c r="I189">
        <v>971.9079999999999</v>
      </c>
      <c r="K189">
        <v>1441.3489999999999</v>
      </c>
    </row>
    <row r="190" spans="1:11" x14ac:dyDescent="0.35">
      <c r="A190" t="s">
        <v>392</v>
      </c>
      <c r="B190" t="s">
        <v>393</v>
      </c>
      <c r="C190">
        <v>110140.95366631309</v>
      </c>
      <c r="D190">
        <v>52867.657759830276</v>
      </c>
      <c r="E190">
        <v>57273.29590648281</v>
      </c>
      <c r="F190">
        <v>12092.626960396392</v>
      </c>
      <c r="G190">
        <v>110140.95366631309</v>
      </c>
      <c r="H190">
        <v>0</v>
      </c>
      <c r="I190">
        <v>0</v>
      </c>
      <c r="K190">
        <v>0</v>
      </c>
    </row>
    <row r="191" spans="1:11" x14ac:dyDescent="0.35">
      <c r="A191" t="s">
        <v>394</v>
      </c>
      <c r="B191" t="s">
        <v>395</v>
      </c>
      <c r="C191">
        <v>65194.69750671291</v>
      </c>
      <c r="D191">
        <v>31293.454803222194</v>
      </c>
      <c r="E191">
        <v>33901.242703490716</v>
      </c>
      <c r="F191">
        <v>7157.8748004402896</v>
      </c>
      <c r="G191">
        <v>65194.69750671291</v>
      </c>
      <c r="H191">
        <v>0</v>
      </c>
      <c r="I191">
        <v>0</v>
      </c>
      <c r="K191">
        <v>0</v>
      </c>
    </row>
    <row r="192" spans="1:11" x14ac:dyDescent="0.35">
      <c r="A192" t="s">
        <v>396</v>
      </c>
      <c r="B192" t="s">
        <v>397</v>
      </c>
      <c r="C192">
        <v>37430.354277464423</v>
      </c>
      <c r="D192">
        <v>17966.570053182921</v>
      </c>
      <c r="E192">
        <v>19463.784224281502</v>
      </c>
      <c r="F192">
        <v>4109.5641194842246</v>
      </c>
      <c r="G192">
        <v>37430.354277464423</v>
      </c>
      <c r="H192">
        <v>0</v>
      </c>
      <c r="I192">
        <v>0</v>
      </c>
      <c r="K192">
        <v>0</v>
      </c>
    </row>
    <row r="193" spans="1:11" x14ac:dyDescent="0.35">
      <c r="A193" t="s">
        <v>398</v>
      </c>
      <c r="B193" t="s">
        <v>399</v>
      </c>
      <c r="C193">
        <v>49668.403038028322</v>
      </c>
      <c r="D193">
        <v>23840.833458253594</v>
      </c>
      <c r="E193">
        <v>25827.569579774728</v>
      </c>
      <c r="F193">
        <v>5453.2074552137919</v>
      </c>
      <c r="G193">
        <v>49668.403038028322</v>
      </c>
      <c r="H193">
        <v>0</v>
      </c>
      <c r="I193">
        <v>0</v>
      </c>
      <c r="K193">
        <v>0</v>
      </c>
    </row>
    <row r="194" spans="1:11" x14ac:dyDescent="0.35">
      <c r="A194" t="s">
        <v>400</v>
      </c>
      <c r="B194" t="s">
        <v>401</v>
      </c>
      <c r="C194">
        <v>40246.592076508467</v>
      </c>
      <c r="D194">
        <v>19318.364196724062</v>
      </c>
      <c r="E194">
        <v>20928.227879784405</v>
      </c>
      <c r="F194">
        <v>4418.7653021685855</v>
      </c>
      <c r="G194">
        <v>40246.592076508467</v>
      </c>
      <c r="H194">
        <v>0</v>
      </c>
      <c r="I194">
        <v>0</v>
      </c>
      <c r="K194">
        <v>0</v>
      </c>
    </row>
    <row r="195" spans="1:11" x14ac:dyDescent="0.35">
      <c r="A195" t="s">
        <v>402</v>
      </c>
      <c r="B195" t="s">
        <v>403</v>
      </c>
      <c r="C195">
        <v>96289.116938323816</v>
      </c>
      <c r="D195">
        <v>46218.776130395432</v>
      </c>
      <c r="E195">
        <v>50070.340807928384</v>
      </c>
      <c r="F195">
        <v>10571.802156433179</v>
      </c>
      <c r="G195">
        <v>96289.116938323816</v>
      </c>
      <c r="H195">
        <v>0</v>
      </c>
      <c r="I195">
        <v>0</v>
      </c>
      <c r="K195">
        <v>0</v>
      </c>
    </row>
    <row r="196" spans="1:11" x14ac:dyDescent="0.35">
      <c r="A196" t="s">
        <v>404</v>
      </c>
      <c r="B196" t="s">
        <v>405</v>
      </c>
      <c r="C196">
        <v>42364.361395830856</v>
      </c>
      <c r="D196">
        <v>20334.893469998809</v>
      </c>
      <c r="E196">
        <v>22029.467925832047</v>
      </c>
      <c r="F196">
        <v>4651.2800345570968</v>
      </c>
      <c r="G196">
        <v>42364.361395830856</v>
      </c>
      <c r="H196">
        <v>0</v>
      </c>
      <c r="I196">
        <v>0</v>
      </c>
      <c r="K196">
        <v>0</v>
      </c>
    </row>
    <row r="197" spans="1:11" x14ac:dyDescent="0.35">
      <c r="A197" t="s">
        <v>406</v>
      </c>
      <c r="B197" t="s">
        <v>407</v>
      </c>
      <c r="C197">
        <v>53043.692743745676</v>
      </c>
      <c r="D197">
        <v>25460.972516997925</v>
      </c>
      <c r="E197">
        <v>27582.720226747751</v>
      </c>
      <c r="F197">
        <v>5823.788224090772</v>
      </c>
      <c r="G197">
        <v>53043.692743745676</v>
      </c>
      <c r="H197">
        <v>0</v>
      </c>
      <c r="I197">
        <v>0</v>
      </c>
      <c r="K197">
        <v>0</v>
      </c>
    </row>
    <row r="198" spans="1:11" x14ac:dyDescent="0.35">
      <c r="A198" t="s">
        <v>60</v>
      </c>
      <c r="B198" t="s">
        <v>408</v>
      </c>
      <c r="C198">
        <v>34714.712522711336</v>
      </c>
      <c r="D198">
        <v>16663.062010901442</v>
      </c>
      <c r="E198">
        <v>18051.650511809894</v>
      </c>
      <c r="F198">
        <v>3811.4076063510965</v>
      </c>
      <c r="G198">
        <v>34714.712522711336</v>
      </c>
      <c r="H198">
        <v>0</v>
      </c>
      <c r="I198">
        <v>0</v>
      </c>
      <c r="K198">
        <v>0</v>
      </c>
    </row>
    <row r="199" spans="1:11" x14ac:dyDescent="0.35">
      <c r="A199" t="s">
        <v>409</v>
      </c>
      <c r="B199" t="s">
        <v>410</v>
      </c>
      <c r="C199">
        <v>130278.4789388108</v>
      </c>
      <c r="D199">
        <v>62533.669890629186</v>
      </c>
      <c r="E199">
        <v>67744.809048181618</v>
      </c>
      <c r="F199">
        <v>14303.571871620179</v>
      </c>
      <c r="G199">
        <v>130278.4789388108</v>
      </c>
      <c r="H199">
        <v>0</v>
      </c>
      <c r="I199">
        <v>0</v>
      </c>
      <c r="K199">
        <v>0</v>
      </c>
    </row>
    <row r="200" spans="1:11" x14ac:dyDescent="0.35">
      <c r="A200" t="s">
        <v>411</v>
      </c>
      <c r="B200" t="s">
        <v>412</v>
      </c>
      <c r="C200">
        <v>102820.50387343555</v>
      </c>
      <c r="D200">
        <v>49353.841859249063</v>
      </c>
      <c r="E200">
        <v>53466.662014186484</v>
      </c>
      <c r="F200">
        <v>11288.898051386099</v>
      </c>
      <c r="G200">
        <v>102820.50387343555</v>
      </c>
      <c r="H200">
        <v>0</v>
      </c>
      <c r="I200">
        <v>0</v>
      </c>
      <c r="K200">
        <v>0</v>
      </c>
    </row>
    <row r="201" spans="1:11" x14ac:dyDescent="0.35">
      <c r="A201" t="s">
        <v>413</v>
      </c>
      <c r="B201" t="s">
        <v>414</v>
      </c>
      <c r="C201">
        <v>76974.006052400582</v>
      </c>
      <c r="D201">
        <v>36947.522905152277</v>
      </c>
      <c r="E201">
        <v>40026.483147248306</v>
      </c>
      <c r="F201">
        <v>8451.1519998184613</v>
      </c>
      <c r="G201">
        <v>76974.006052400582</v>
      </c>
      <c r="H201">
        <v>0</v>
      </c>
      <c r="I201">
        <v>0</v>
      </c>
      <c r="K201">
        <v>0</v>
      </c>
    </row>
    <row r="202" spans="1:11" x14ac:dyDescent="0.35">
      <c r="A202" t="s">
        <v>415</v>
      </c>
      <c r="B202" t="s">
        <v>416</v>
      </c>
      <c r="C202">
        <v>39553.362277540473</v>
      </c>
      <c r="D202">
        <v>18985.613893219426</v>
      </c>
      <c r="E202">
        <v>20567.748384321047</v>
      </c>
      <c r="F202">
        <v>4342.6540186023667</v>
      </c>
      <c r="G202">
        <v>39553.362277540473</v>
      </c>
      <c r="H202">
        <v>0</v>
      </c>
      <c r="I202">
        <v>0</v>
      </c>
      <c r="K202">
        <v>0</v>
      </c>
    </row>
    <row r="203" spans="1:11" x14ac:dyDescent="0.35">
      <c r="A203" t="s">
        <v>417</v>
      </c>
      <c r="B203" t="s">
        <v>418</v>
      </c>
      <c r="C203">
        <v>116526.28915549313</v>
      </c>
      <c r="D203">
        <v>55932.618794636699</v>
      </c>
      <c r="E203">
        <v>60593.670360856428</v>
      </c>
      <c r="F203">
        <v>12793.687533392422</v>
      </c>
      <c r="G203">
        <v>116526.28915549313</v>
      </c>
      <c r="H203">
        <v>0</v>
      </c>
      <c r="I203">
        <v>0</v>
      </c>
      <c r="K203">
        <v>0</v>
      </c>
    </row>
    <row r="204" spans="1:11" x14ac:dyDescent="0.35">
      <c r="A204" t="s">
        <v>419</v>
      </c>
      <c r="B204" t="s">
        <v>420</v>
      </c>
      <c r="C204">
        <v>77452.619920048252</v>
      </c>
      <c r="D204">
        <v>37177.257561623162</v>
      </c>
      <c r="E204">
        <v>40275.362358425089</v>
      </c>
      <c r="F204">
        <v>8503.7001099162771</v>
      </c>
      <c r="G204">
        <v>77452.619920048252</v>
      </c>
      <c r="H204">
        <v>0</v>
      </c>
      <c r="I204">
        <v>0</v>
      </c>
      <c r="K204">
        <v>0</v>
      </c>
    </row>
    <row r="205" spans="1:11" x14ac:dyDescent="0.35">
      <c r="A205" t="s">
        <v>421</v>
      </c>
      <c r="B205" t="s">
        <v>422</v>
      </c>
      <c r="C205">
        <v>48341.889187700224</v>
      </c>
      <c r="D205">
        <v>23204.106810096106</v>
      </c>
      <c r="E205">
        <v>25137.782377604119</v>
      </c>
      <c r="F205">
        <v>5307.5664686792534</v>
      </c>
      <c r="G205">
        <v>48341.889187700224</v>
      </c>
      <c r="H205">
        <v>0</v>
      </c>
      <c r="I205">
        <v>0</v>
      </c>
      <c r="K205">
        <v>0</v>
      </c>
    </row>
    <row r="206" spans="1:11" x14ac:dyDescent="0.35">
      <c r="A206" t="s">
        <v>423</v>
      </c>
      <c r="B206" t="s">
        <v>424</v>
      </c>
      <c r="C206">
        <v>49809.83623046858</v>
      </c>
      <c r="D206">
        <v>23908.721390624916</v>
      </c>
      <c r="E206">
        <v>25901.114839843664</v>
      </c>
      <c r="F206">
        <v>5468.7357285677672</v>
      </c>
      <c r="G206">
        <v>49809.83623046858</v>
      </c>
      <c r="H206">
        <v>0</v>
      </c>
      <c r="I206">
        <v>0</v>
      </c>
      <c r="K206">
        <v>0</v>
      </c>
    </row>
    <row r="207" spans="1:11" x14ac:dyDescent="0.35">
      <c r="A207" t="s">
        <v>425</v>
      </c>
      <c r="B207" t="s">
        <v>426</v>
      </c>
      <c r="C207">
        <v>56597.84350781684</v>
      </c>
      <c r="D207">
        <v>27166.964883752084</v>
      </c>
      <c r="E207">
        <v>29430.878624064757</v>
      </c>
      <c r="F207">
        <v>6214.0065572380508</v>
      </c>
      <c r="G207">
        <v>56597.84350781684</v>
      </c>
      <c r="H207">
        <v>0</v>
      </c>
      <c r="I207">
        <v>0</v>
      </c>
      <c r="K207">
        <v>0</v>
      </c>
    </row>
    <row r="208" spans="1:11" x14ac:dyDescent="0.35">
      <c r="A208" t="s">
        <v>427</v>
      </c>
      <c r="B208" t="s">
        <v>428</v>
      </c>
      <c r="C208">
        <v>46985.097113066498</v>
      </c>
      <c r="D208">
        <v>22552.846614271919</v>
      </c>
      <c r="E208">
        <v>24432.250498794579</v>
      </c>
      <c r="F208">
        <v>5158.6011667165003</v>
      </c>
      <c r="G208">
        <v>46985.097113066498</v>
      </c>
      <c r="H208">
        <v>0</v>
      </c>
      <c r="I208">
        <v>0</v>
      </c>
      <c r="K208">
        <v>0</v>
      </c>
    </row>
    <row r="209" spans="1:11" x14ac:dyDescent="0.35">
      <c r="A209" t="s">
        <v>429</v>
      </c>
      <c r="B209" t="s">
        <v>430</v>
      </c>
      <c r="C209">
        <v>46546.952287215412</v>
      </c>
      <c r="D209">
        <v>22342.537097863398</v>
      </c>
      <c r="E209">
        <v>24204.415189352014</v>
      </c>
      <c r="F209">
        <v>5110.4962451838883</v>
      </c>
      <c r="G209">
        <v>46546.952287215412</v>
      </c>
      <c r="H209">
        <v>0</v>
      </c>
      <c r="I209">
        <v>0</v>
      </c>
      <c r="K209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4D79-A7A6-48C8-8509-FD3F2A049ECB}">
  <dimension ref="A1:D3"/>
  <sheetViews>
    <sheetView workbookViewId="0">
      <selection activeCell="B19" sqref="B19"/>
    </sheetView>
  </sheetViews>
  <sheetFormatPr defaultColWidth="9.1796875" defaultRowHeight="14.5" x14ac:dyDescent="0.35"/>
  <cols>
    <col min="1" max="1" width="57.453125" customWidth="1"/>
    <col min="2" max="3" width="50.1796875" customWidth="1"/>
    <col min="4" max="4" width="15.54296875" customWidth="1"/>
  </cols>
  <sheetData>
    <row r="1" spans="1:4" ht="104" x14ac:dyDescent="0.35">
      <c r="A1" s="1" t="s">
        <v>13</v>
      </c>
      <c r="B1" s="1" t="s">
        <v>12</v>
      </c>
      <c r="C1" s="2" t="s">
        <v>11</v>
      </c>
    </row>
    <row r="2" spans="1:4" x14ac:dyDescent="0.35">
      <c r="A2" s="5" t="s">
        <v>14</v>
      </c>
      <c r="B2" s="5"/>
      <c r="C2" s="5"/>
      <c r="D2" s="5"/>
    </row>
    <row r="3" spans="1:4" x14ac:dyDescent="0.35">
      <c r="A3" s="5" t="s">
        <v>15</v>
      </c>
      <c r="B3" s="5"/>
      <c r="C3" s="5"/>
      <c r="D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8827-1B45-45DF-80B7-1C0A01160B68}">
  <dimension ref="A1:I520"/>
  <sheetViews>
    <sheetView workbookViewId="0">
      <selection activeCell="D18" sqref="D18"/>
    </sheetView>
  </sheetViews>
  <sheetFormatPr defaultRowHeight="14.5" x14ac:dyDescent="0.35"/>
  <cols>
    <col min="1" max="1" width="18.1796875" style="14" customWidth="1"/>
    <col min="2" max="2" width="21.453125" customWidth="1"/>
    <col min="3" max="3" width="17" customWidth="1"/>
    <col min="4" max="4" width="21.54296875" customWidth="1"/>
    <col min="6" max="7" width="23.81640625" bestFit="1" customWidth="1"/>
    <col min="8" max="8" width="19.26953125" bestFit="1" customWidth="1"/>
    <col min="9" max="10" width="24.54296875" bestFit="1" customWidth="1"/>
    <col min="11" max="63" width="12" bestFit="1" customWidth="1"/>
    <col min="64" max="64" width="7.26953125" bestFit="1" customWidth="1"/>
    <col min="65" max="65" width="23.81640625" bestFit="1" customWidth="1"/>
    <col min="66" max="121" width="12" bestFit="1" customWidth="1"/>
    <col min="122" max="122" width="7.26953125" bestFit="1" customWidth="1"/>
    <col min="123" max="123" width="19.26953125" bestFit="1" customWidth="1"/>
    <col min="124" max="179" width="12" bestFit="1" customWidth="1"/>
    <col min="180" max="180" width="7.26953125" bestFit="1" customWidth="1"/>
    <col min="181" max="181" width="24.54296875" bestFit="1" customWidth="1"/>
    <col min="182" max="237" width="12" bestFit="1" customWidth="1"/>
    <col min="238" max="238" width="7.26953125" bestFit="1" customWidth="1"/>
    <col min="239" max="240" width="28.81640625" bestFit="1" customWidth="1"/>
    <col min="241" max="241" width="24.26953125" bestFit="1" customWidth="1"/>
    <col min="242" max="242" width="29.7265625" bestFit="1" customWidth="1"/>
  </cols>
  <sheetData>
    <row r="1" spans="1:9" x14ac:dyDescent="0.35">
      <c r="A1" s="12" t="s">
        <v>431</v>
      </c>
      <c r="B1" s="12" t="s">
        <v>743</v>
      </c>
      <c r="C1" t="s">
        <v>745</v>
      </c>
      <c r="D1" t="s">
        <v>746</v>
      </c>
      <c r="F1" s="16" t="s">
        <v>745</v>
      </c>
      <c r="G1" t="s">
        <v>751</v>
      </c>
    </row>
    <row r="2" spans="1:9" x14ac:dyDescent="0.35">
      <c r="A2" s="13" t="s">
        <v>17</v>
      </c>
      <c r="B2" t="s">
        <v>432</v>
      </c>
      <c r="C2" t="s">
        <v>744</v>
      </c>
      <c r="D2" t="s">
        <v>85</v>
      </c>
      <c r="F2" s="16" t="s">
        <v>743</v>
      </c>
      <c r="G2" t="s">
        <v>751</v>
      </c>
    </row>
    <row r="3" spans="1:9" x14ac:dyDescent="0.35">
      <c r="A3" s="13" t="s">
        <v>19</v>
      </c>
      <c r="B3" t="s">
        <v>433</v>
      </c>
      <c r="C3" t="s">
        <v>87</v>
      </c>
      <c r="D3" t="s">
        <v>87</v>
      </c>
      <c r="F3" s="16" t="s">
        <v>431</v>
      </c>
      <c r="G3" t="s">
        <v>751</v>
      </c>
    </row>
    <row r="4" spans="1:9" x14ac:dyDescent="0.35">
      <c r="A4" s="13" t="s">
        <v>21</v>
      </c>
      <c r="B4" t="s">
        <v>434</v>
      </c>
      <c r="C4" t="s">
        <v>89</v>
      </c>
      <c r="D4" t="s">
        <v>89</v>
      </c>
      <c r="F4" s="16" t="s">
        <v>746</v>
      </c>
      <c r="G4" t="s">
        <v>751</v>
      </c>
    </row>
    <row r="5" spans="1:9" x14ac:dyDescent="0.35">
      <c r="A5" s="13" t="s">
        <v>23</v>
      </c>
      <c r="B5" t="s">
        <v>17</v>
      </c>
      <c r="C5" t="s">
        <v>91</v>
      </c>
      <c r="D5" t="s">
        <v>91</v>
      </c>
    </row>
    <row r="6" spans="1:9" x14ac:dyDescent="0.35">
      <c r="A6" s="13" t="s">
        <v>25</v>
      </c>
      <c r="B6" t="s">
        <v>435</v>
      </c>
      <c r="C6" t="s">
        <v>95</v>
      </c>
      <c r="D6" t="s">
        <v>93</v>
      </c>
      <c r="F6" t="s">
        <v>748</v>
      </c>
      <c r="G6" t="s">
        <v>747</v>
      </c>
      <c r="H6" t="s">
        <v>749</v>
      </c>
      <c r="I6" t="s">
        <v>750</v>
      </c>
    </row>
    <row r="7" spans="1:9" x14ac:dyDescent="0.35">
      <c r="A7" s="13" t="s">
        <v>27</v>
      </c>
      <c r="B7" t="s">
        <v>436</v>
      </c>
      <c r="C7" t="s">
        <v>99</v>
      </c>
      <c r="D7" t="s">
        <v>95</v>
      </c>
      <c r="F7">
        <v>208</v>
      </c>
      <c r="G7">
        <v>519</v>
      </c>
      <c r="H7">
        <v>57</v>
      </c>
      <c r="I7">
        <v>72</v>
      </c>
    </row>
    <row r="8" spans="1:9" x14ac:dyDescent="0.35">
      <c r="A8" s="13" t="s">
        <v>29</v>
      </c>
      <c r="B8" t="s">
        <v>437</v>
      </c>
      <c r="C8" t="s">
        <v>101</v>
      </c>
      <c r="D8" t="s">
        <v>97</v>
      </c>
    </row>
    <row r="9" spans="1:9" x14ac:dyDescent="0.35">
      <c r="A9" s="13" t="s">
        <v>31</v>
      </c>
      <c r="B9" t="s">
        <v>438</v>
      </c>
      <c r="C9" t="s">
        <v>632</v>
      </c>
      <c r="D9" t="s">
        <v>99</v>
      </c>
    </row>
    <row r="10" spans="1:9" x14ac:dyDescent="0.35">
      <c r="A10" s="13" t="s">
        <v>33</v>
      </c>
      <c r="B10" t="s">
        <v>439</v>
      </c>
      <c r="C10" t="s">
        <v>105</v>
      </c>
      <c r="D10" t="s">
        <v>101</v>
      </c>
    </row>
    <row r="11" spans="1:9" x14ac:dyDescent="0.35">
      <c r="A11" s="13" t="s">
        <v>35</v>
      </c>
      <c r="B11" t="s">
        <v>440</v>
      </c>
      <c r="C11" t="s">
        <v>107</v>
      </c>
      <c r="D11" t="s">
        <v>632</v>
      </c>
    </row>
    <row r="12" spans="1:9" x14ac:dyDescent="0.35">
      <c r="A12" s="13" t="s">
        <v>37</v>
      </c>
      <c r="B12" t="s">
        <v>441</v>
      </c>
      <c r="C12" t="s">
        <v>109</v>
      </c>
      <c r="D12" t="s">
        <v>103</v>
      </c>
    </row>
    <row r="13" spans="1:9" x14ac:dyDescent="0.35">
      <c r="A13" s="13" t="s">
        <v>39</v>
      </c>
      <c r="B13" t="s">
        <v>442</v>
      </c>
      <c r="C13" t="s">
        <v>113</v>
      </c>
      <c r="D13" t="s">
        <v>105</v>
      </c>
    </row>
    <row r="14" spans="1:9" x14ac:dyDescent="0.35">
      <c r="A14" s="13" t="s">
        <v>41</v>
      </c>
      <c r="B14" t="s">
        <v>19</v>
      </c>
      <c r="C14" t="s">
        <v>115</v>
      </c>
      <c r="D14" t="s">
        <v>107</v>
      </c>
    </row>
    <row r="15" spans="1:9" x14ac:dyDescent="0.35">
      <c r="A15" s="13" t="s">
        <v>43</v>
      </c>
      <c r="B15" t="s">
        <v>443</v>
      </c>
      <c r="C15" t="s">
        <v>117</v>
      </c>
      <c r="D15" t="s">
        <v>109</v>
      </c>
    </row>
    <row r="16" spans="1:9" x14ac:dyDescent="0.35">
      <c r="A16" s="13" t="s">
        <v>45</v>
      </c>
      <c r="B16" t="s">
        <v>444</v>
      </c>
      <c r="C16" t="s">
        <v>121</v>
      </c>
      <c r="D16" t="s">
        <v>113</v>
      </c>
    </row>
    <row r="17" spans="1:4" x14ac:dyDescent="0.35">
      <c r="A17" s="13" t="s">
        <v>47</v>
      </c>
      <c r="B17" t="s">
        <v>445</v>
      </c>
      <c r="C17" t="s">
        <v>123</v>
      </c>
      <c r="D17" t="s">
        <v>115</v>
      </c>
    </row>
    <row r="18" spans="1:4" x14ac:dyDescent="0.35">
      <c r="A18" s="13" t="s">
        <v>49</v>
      </c>
      <c r="B18" t="s">
        <v>21</v>
      </c>
      <c r="C18" t="s">
        <v>125</v>
      </c>
      <c r="D18" t="s">
        <v>119</v>
      </c>
    </row>
    <row r="19" spans="1:4" x14ac:dyDescent="0.35">
      <c r="A19" s="13" t="s">
        <v>51</v>
      </c>
      <c r="B19" t="s">
        <v>446</v>
      </c>
      <c r="C19" t="s">
        <v>127</v>
      </c>
      <c r="D19" t="s">
        <v>121</v>
      </c>
    </row>
    <row r="20" spans="1:4" x14ac:dyDescent="0.35">
      <c r="A20" s="13" t="s">
        <v>53</v>
      </c>
      <c r="B20" t="s">
        <v>447</v>
      </c>
      <c r="C20" t="s">
        <v>129</v>
      </c>
      <c r="D20" t="s">
        <v>123</v>
      </c>
    </row>
    <row r="21" spans="1:4" x14ac:dyDescent="0.35">
      <c r="A21" s="13" t="s">
        <v>55</v>
      </c>
      <c r="B21" t="s">
        <v>23</v>
      </c>
      <c r="C21" t="s">
        <v>131</v>
      </c>
      <c r="D21" t="s">
        <v>125</v>
      </c>
    </row>
    <row r="22" spans="1:4" x14ac:dyDescent="0.35">
      <c r="A22" s="13" t="s">
        <v>57</v>
      </c>
      <c r="B22" t="s">
        <v>448</v>
      </c>
      <c r="C22" t="s">
        <v>133</v>
      </c>
      <c r="D22" t="s">
        <v>127</v>
      </c>
    </row>
    <row r="23" spans="1:4" x14ac:dyDescent="0.35">
      <c r="A23" s="13" t="s">
        <v>59</v>
      </c>
      <c r="B23" t="s">
        <v>449</v>
      </c>
      <c r="C23" t="s">
        <v>135</v>
      </c>
      <c r="D23" t="s">
        <v>129</v>
      </c>
    </row>
    <row r="24" spans="1:4" x14ac:dyDescent="0.35">
      <c r="A24" s="13" t="s">
        <v>61</v>
      </c>
      <c r="B24" t="s">
        <v>25</v>
      </c>
      <c r="C24" t="s">
        <v>137</v>
      </c>
      <c r="D24" t="s">
        <v>131</v>
      </c>
    </row>
    <row r="25" spans="1:4" x14ac:dyDescent="0.35">
      <c r="A25" s="15" t="s">
        <v>63</v>
      </c>
      <c r="B25" t="s">
        <v>27</v>
      </c>
      <c r="C25" t="s">
        <v>141</v>
      </c>
      <c r="D25" t="s">
        <v>133</v>
      </c>
    </row>
    <row r="26" spans="1:4" x14ac:dyDescent="0.35">
      <c r="A26" s="13" t="s">
        <v>65</v>
      </c>
      <c r="B26" t="s">
        <v>29</v>
      </c>
      <c r="C26" t="s">
        <v>145</v>
      </c>
      <c r="D26" t="s">
        <v>135</v>
      </c>
    </row>
    <row r="27" spans="1:4" x14ac:dyDescent="0.35">
      <c r="A27" s="13" t="s">
        <v>67</v>
      </c>
      <c r="B27" t="s">
        <v>450</v>
      </c>
      <c r="C27" t="s">
        <v>147</v>
      </c>
      <c r="D27" t="s">
        <v>137</v>
      </c>
    </row>
    <row r="28" spans="1:4" x14ac:dyDescent="0.35">
      <c r="A28" s="13" t="s">
        <v>69</v>
      </c>
      <c r="B28" t="s">
        <v>31</v>
      </c>
      <c r="C28" t="s">
        <v>159</v>
      </c>
      <c r="D28" t="s">
        <v>139</v>
      </c>
    </row>
    <row r="29" spans="1:4" x14ac:dyDescent="0.35">
      <c r="A29" s="13" t="s">
        <v>71</v>
      </c>
      <c r="B29" t="s">
        <v>33</v>
      </c>
      <c r="C29" t="s">
        <v>165</v>
      </c>
      <c r="D29" t="s">
        <v>145</v>
      </c>
    </row>
    <row r="30" spans="1:4" x14ac:dyDescent="0.35">
      <c r="A30" s="13" t="s">
        <v>73</v>
      </c>
      <c r="B30" t="s">
        <v>35</v>
      </c>
      <c r="C30" t="s">
        <v>183</v>
      </c>
      <c r="D30" t="s">
        <v>147</v>
      </c>
    </row>
    <row r="31" spans="1:4" x14ac:dyDescent="0.35">
      <c r="A31" s="13" t="s">
        <v>75</v>
      </c>
      <c r="B31" t="s">
        <v>37</v>
      </c>
      <c r="C31" t="s">
        <v>189</v>
      </c>
      <c r="D31" t="s">
        <v>149</v>
      </c>
    </row>
    <row r="32" spans="1:4" x14ac:dyDescent="0.35">
      <c r="A32" s="13" t="s">
        <v>77</v>
      </c>
      <c r="B32" t="s">
        <v>451</v>
      </c>
      <c r="C32" t="s">
        <v>191</v>
      </c>
      <c r="D32" t="s">
        <v>153</v>
      </c>
    </row>
    <row r="33" spans="1:4" x14ac:dyDescent="0.35">
      <c r="A33" s="13" t="s">
        <v>79</v>
      </c>
      <c r="B33" t="s">
        <v>452</v>
      </c>
      <c r="C33" t="s">
        <v>211</v>
      </c>
      <c r="D33" t="s">
        <v>157</v>
      </c>
    </row>
    <row r="34" spans="1:4" x14ac:dyDescent="0.35">
      <c r="A34" s="13" t="s">
        <v>81</v>
      </c>
      <c r="B34" t="s">
        <v>453</v>
      </c>
      <c r="C34" t="s">
        <v>213</v>
      </c>
      <c r="D34" t="s">
        <v>159</v>
      </c>
    </row>
    <row r="35" spans="1:4" x14ac:dyDescent="0.35">
      <c r="A35" s="13" t="s">
        <v>83</v>
      </c>
      <c r="B35" t="s">
        <v>454</v>
      </c>
      <c r="C35" t="s">
        <v>215</v>
      </c>
      <c r="D35" t="s">
        <v>165</v>
      </c>
    </row>
    <row r="36" spans="1:4" x14ac:dyDescent="0.35">
      <c r="A36" s="13" t="s">
        <v>85</v>
      </c>
      <c r="B36" t="s">
        <v>455</v>
      </c>
      <c r="C36" t="s">
        <v>217</v>
      </c>
      <c r="D36" t="s">
        <v>167</v>
      </c>
    </row>
    <row r="37" spans="1:4" x14ac:dyDescent="0.35">
      <c r="A37" s="13" t="s">
        <v>87</v>
      </c>
      <c r="B37" t="s">
        <v>456</v>
      </c>
      <c r="C37" t="s">
        <v>221</v>
      </c>
      <c r="D37" t="s">
        <v>171</v>
      </c>
    </row>
    <row r="38" spans="1:4" x14ac:dyDescent="0.35">
      <c r="A38" s="13" t="s">
        <v>89</v>
      </c>
      <c r="B38" t="s">
        <v>457</v>
      </c>
      <c r="C38" t="s">
        <v>223</v>
      </c>
      <c r="D38" t="s">
        <v>173</v>
      </c>
    </row>
    <row r="39" spans="1:4" x14ac:dyDescent="0.35">
      <c r="A39" s="13" t="s">
        <v>91</v>
      </c>
      <c r="B39" t="s">
        <v>458</v>
      </c>
      <c r="C39" t="s">
        <v>225</v>
      </c>
      <c r="D39" t="s">
        <v>177</v>
      </c>
    </row>
    <row r="40" spans="1:4" x14ac:dyDescent="0.35">
      <c r="A40" s="13" t="s">
        <v>93</v>
      </c>
      <c r="B40" t="s">
        <v>459</v>
      </c>
      <c r="C40" t="s">
        <v>235</v>
      </c>
      <c r="D40" t="s">
        <v>179</v>
      </c>
    </row>
    <row r="41" spans="1:4" x14ac:dyDescent="0.35">
      <c r="A41" s="13" t="s">
        <v>95</v>
      </c>
      <c r="B41" t="s">
        <v>460</v>
      </c>
      <c r="C41" t="s">
        <v>237</v>
      </c>
      <c r="D41" t="s">
        <v>181</v>
      </c>
    </row>
    <row r="42" spans="1:4" x14ac:dyDescent="0.35">
      <c r="A42" s="13" t="s">
        <v>97</v>
      </c>
      <c r="B42" t="s">
        <v>461</v>
      </c>
      <c r="C42" t="s">
        <v>239</v>
      </c>
      <c r="D42" t="s">
        <v>185</v>
      </c>
    </row>
    <row r="43" spans="1:4" x14ac:dyDescent="0.35">
      <c r="A43" s="13" t="s">
        <v>99</v>
      </c>
      <c r="B43" t="s">
        <v>462</v>
      </c>
      <c r="C43" t="s">
        <v>241</v>
      </c>
      <c r="D43" t="s">
        <v>189</v>
      </c>
    </row>
    <row r="44" spans="1:4" x14ac:dyDescent="0.35">
      <c r="A44" s="13" t="s">
        <v>101</v>
      </c>
      <c r="B44" t="s">
        <v>463</v>
      </c>
      <c r="C44" t="s">
        <v>245</v>
      </c>
      <c r="D44" t="s">
        <v>191</v>
      </c>
    </row>
    <row r="45" spans="1:4" x14ac:dyDescent="0.35">
      <c r="A45" s="13" t="s">
        <v>103</v>
      </c>
      <c r="B45" t="s">
        <v>464</v>
      </c>
      <c r="C45" t="s">
        <v>247</v>
      </c>
      <c r="D45" t="s">
        <v>193</v>
      </c>
    </row>
    <row r="46" spans="1:4" x14ac:dyDescent="0.35">
      <c r="A46" s="13" t="s">
        <v>105</v>
      </c>
      <c r="B46" t="s">
        <v>465</v>
      </c>
      <c r="C46" t="s">
        <v>249</v>
      </c>
      <c r="D46" t="s">
        <v>195</v>
      </c>
    </row>
    <row r="47" spans="1:4" x14ac:dyDescent="0.35">
      <c r="A47" s="13" t="s">
        <v>107</v>
      </c>
      <c r="B47" t="s">
        <v>466</v>
      </c>
      <c r="C47" t="s">
        <v>251</v>
      </c>
      <c r="D47" t="s">
        <v>197</v>
      </c>
    </row>
    <row r="48" spans="1:4" x14ac:dyDescent="0.35">
      <c r="A48" s="13" t="s">
        <v>109</v>
      </c>
      <c r="B48" t="s">
        <v>467</v>
      </c>
      <c r="C48" t="s">
        <v>255</v>
      </c>
      <c r="D48" t="s">
        <v>638</v>
      </c>
    </row>
    <row r="49" spans="1:4" x14ac:dyDescent="0.35">
      <c r="A49" s="13" t="s">
        <v>111</v>
      </c>
      <c r="B49" t="s">
        <v>468</v>
      </c>
      <c r="C49" t="s">
        <v>257</v>
      </c>
      <c r="D49" t="s">
        <v>201</v>
      </c>
    </row>
    <row r="50" spans="1:4" x14ac:dyDescent="0.35">
      <c r="A50" s="13" t="s">
        <v>113</v>
      </c>
      <c r="B50" t="s">
        <v>469</v>
      </c>
      <c r="C50" t="s">
        <v>259</v>
      </c>
      <c r="D50" t="s">
        <v>203</v>
      </c>
    </row>
    <row r="51" spans="1:4" x14ac:dyDescent="0.35">
      <c r="A51" s="13" t="s">
        <v>115</v>
      </c>
      <c r="B51" t="s">
        <v>470</v>
      </c>
      <c r="C51" t="s">
        <v>261</v>
      </c>
      <c r="D51" t="s">
        <v>207</v>
      </c>
    </row>
    <row r="52" spans="1:4" x14ac:dyDescent="0.35">
      <c r="A52" s="13" t="s">
        <v>117</v>
      </c>
      <c r="B52" t="s">
        <v>471</v>
      </c>
      <c r="C52" t="s">
        <v>263</v>
      </c>
      <c r="D52" t="s">
        <v>209</v>
      </c>
    </row>
    <row r="53" spans="1:4" x14ac:dyDescent="0.35">
      <c r="A53" s="13" t="s">
        <v>119</v>
      </c>
      <c r="B53" t="s">
        <v>472</v>
      </c>
      <c r="C53" t="s">
        <v>267</v>
      </c>
      <c r="D53" t="s">
        <v>211</v>
      </c>
    </row>
    <row r="54" spans="1:4" x14ac:dyDescent="0.35">
      <c r="A54" s="13" t="s">
        <v>121</v>
      </c>
      <c r="B54" t="s">
        <v>473</v>
      </c>
      <c r="C54" t="s">
        <v>269</v>
      </c>
      <c r="D54" t="s">
        <v>213</v>
      </c>
    </row>
    <row r="55" spans="1:4" x14ac:dyDescent="0.35">
      <c r="A55" s="13" t="s">
        <v>123</v>
      </c>
      <c r="B55" t="s">
        <v>474</v>
      </c>
      <c r="C55" t="s">
        <v>271</v>
      </c>
      <c r="D55" t="s">
        <v>215</v>
      </c>
    </row>
    <row r="56" spans="1:4" x14ac:dyDescent="0.35">
      <c r="A56" s="13" t="s">
        <v>125</v>
      </c>
      <c r="B56" t="s">
        <v>475</v>
      </c>
      <c r="C56" t="s">
        <v>273</v>
      </c>
      <c r="D56" t="s">
        <v>217</v>
      </c>
    </row>
    <row r="57" spans="1:4" x14ac:dyDescent="0.35">
      <c r="A57" s="13" t="s">
        <v>127</v>
      </c>
      <c r="B57" t="s">
        <v>476</v>
      </c>
      <c r="C57" t="s">
        <v>275</v>
      </c>
      <c r="D57" t="s">
        <v>221</v>
      </c>
    </row>
    <row r="58" spans="1:4" x14ac:dyDescent="0.35">
      <c r="A58" s="13" t="s">
        <v>129</v>
      </c>
      <c r="B58" t="s">
        <v>477</v>
      </c>
      <c r="C58" t="s">
        <v>277</v>
      </c>
      <c r="D58" t="s">
        <v>223</v>
      </c>
    </row>
    <row r="59" spans="1:4" x14ac:dyDescent="0.35">
      <c r="A59" s="13" t="s">
        <v>131</v>
      </c>
      <c r="B59" t="s">
        <v>478</v>
      </c>
      <c r="D59" t="s">
        <v>225</v>
      </c>
    </row>
    <row r="60" spans="1:4" x14ac:dyDescent="0.35">
      <c r="A60" s="13" t="s">
        <v>133</v>
      </c>
      <c r="B60" t="s">
        <v>479</v>
      </c>
      <c r="D60" t="s">
        <v>227</v>
      </c>
    </row>
    <row r="61" spans="1:4" x14ac:dyDescent="0.35">
      <c r="A61" s="13" t="s">
        <v>135</v>
      </c>
      <c r="B61" t="s">
        <v>480</v>
      </c>
      <c r="D61" t="s">
        <v>233</v>
      </c>
    </row>
    <row r="62" spans="1:4" x14ac:dyDescent="0.35">
      <c r="A62" s="13" t="s">
        <v>137</v>
      </c>
      <c r="B62" t="s">
        <v>481</v>
      </c>
      <c r="D62" t="s">
        <v>237</v>
      </c>
    </row>
    <row r="63" spans="1:4" x14ac:dyDescent="0.35">
      <c r="A63" s="13" t="s">
        <v>139</v>
      </c>
      <c r="B63" t="s">
        <v>482</v>
      </c>
      <c r="D63" t="s">
        <v>241</v>
      </c>
    </row>
    <row r="64" spans="1:4" x14ac:dyDescent="0.35">
      <c r="A64" s="13" t="s">
        <v>141</v>
      </c>
      <c r="B64" t="s">
        <v>483</v>
      </c>
      <c r="D64" t="s">
        <v>243</v>
      </c>
    </row>
    <row r="65" spans="1:4" x14ac:dyDescent="0.35">
      <c r="A65" s="13" t="s">
        <v>143</v>
      </c>
      <c r="B65" t="s">
        <v>484</v>
      </c>
      <c r="D65" t="s">
        <v>249</v>
      </c>
    </row>
    <row r="66" spans="1:4" x14ac:dyDescent="0.35">
      <c r="A66" s="13" t="s">
        <v>145</v>
      </c>
      <c r="B66" t="s">
        <v>485</v>
      </c>
      <c r="D66" t="s">
        <v>251</v>
      </c>
    </row>
    <row r="67" spans="1:4" x14ac:dyDescent="0.35">
      <c r="A67" s="13" t="s">
        <v>147</v>
      </c>
      <c r="B67" t="s">
        <v>486</v>
      </c>
      <c r="D67" t="s">
        <v>259</v>
      </c>
    </row>
    <row r="68" spans="1:4" x14ac:dyDescent="0.35">
      <c r="A68" s="13" t="s">
        <v>149</v>
      </c>
      <c r="B68" t="s">
        <v>39</v>
      </c>
      <c r="D68" t="s">
        <v>261</v>
      </c>
    </row>
    <row r="69" spans="1:4" x14ac:dyDescent="0.35">
      <c r="A69" s="13" t="s">
        <v>151</v>
      </c>
      <c r="B69" t="s">
        <v>41</v>
      </c>
      <c r="D69" t="s">
        <v>263</v>
      </c>
    </row>
    <row r="70" spans="1:4" x14ac:dyDescent="0.35">
      <c r="A70" s="13" t="s">
        <v>153</v>
      </c>
      <c r="B70" t="s">
        <v>487</v>
      </c>
      <c r="D70" t="s">
        <v>267</v>
      </c>
    </row>
    <row r="71" spans="1:4" x14ac:dyDescent="0.35">
      <c r="A71" s="13" t="s">
        <v>155</v>
      </c>
      <c r="B71" t="s">
        <v>488</v>
      </c>
      <c r="D71" t="s">
        <v>271</v>
      </c>
    </row>
    <row r="72" spans="1:4" x14ac:dyDescent="0.35">
      <c r="A72" s="13" t="s">
        <v>157</v>
      </c>
      <c r="B72" t="s">
        <v>489</v>
      </c>
      <c r="D72" t="s">
        <v>273</v>
      </c>
    </row>
    <row r="73" spans="1:4" x14ac:dyDescent="0.35">
      <c r="A73" s="13" t="s">
        <v>159</v>
      </c>
      <c r="B73" t="s">
        <v>490</v>
      </c>
      <c r="D73" t="s">
        <v>277</v>
      </c>
    </row>
    <row r="74" spans="1:4" x14ac:dyDescent="0.35">
      <c r="A74" s="13" t="s">
        <v>161</v>
      </c>
      <c r="B74" t="s">
        <v>491</v>
      </c>
    </row>
    <row r="75" spans="1:4" x14ac:dyDescent="0.35">
      <c r="A75" s="13" t="s">
        <v>163</v>
      </c>
      <c r="B75" t="s">
        <v>492</v>
      </c>
    </row>
    <row r="76" spans="1:4" x14ac:dyDescent="0.35">
      <c r="A76" s="13" t="s">
        <v>165</v>
      </c>
      <c r="B76" t="s">
        <v>493</v>
      </c>
    </row>
    <row r="77" spans="1:4" x14ac:dyDescent="0.35">
      <c r="A77" s="13" t="s">
        <v>167</v>
      </c>
      <c r="B77" t="s">
        <v>494</v>
      </c>
    </row>
    <row r="78" spans="1:4" x14ac:dyDescent="0.35">
      <c r="A78" s="13" t="s">
        <v>169</v>
      </c>
      <c r="B78" t="s">
        <v>43</v>
      </c>
    </row>
    <row r="79" spans="1:4" x14ac:dyDescent="0.35">
      <c r="A79" s="13" t="s">
        <v>171</v>
      </c>
      <c r="B79" t="s">
        <v>495</v>
      </c>
    </row>
    <row r="80" spans="1:4" x14ac:dyDescent="0.35">
      <c r="A80" s="13" t="s">
        <v>173</v>
      </c>
      <c r="B80" t="s">
        <v>496</v>
      </c>
    </row>
    <row r="81" spans="1:2" x14ac:dyDescent="0.35">
      <c r="A81" s="13" t="s">
        <v>175</v>
      </c>
      <c r="B81" t="s">
        <v>45</v>
      </c>
    </row>
    <row r="82" spans="1:2" x14ac:dyDescent="0.35">
      <c r="A82" s="13" t="s">
        <v>177</v>
      </c>
      <c r="B82" t="s">
        <v>47</v>
      </c>
    </row>
    <row r="83" spans="1:2" x14ac:dyDescent="0.35">
      <c r="A83" s="13" t="s">
        <v>179</v>
      </c>
      <c r="B83" t="s">
        <v>49</v>
      </c>
    </row>
    <row r="84" spans="1:2" x14ac:dyDescent="0.35">
      <c r="A84" s="13" t="s">
        <v>181</v>
      </c>
      <c r="B84" t="s">
        <v>51</v>
      </c>
    </row>
    <row r="85" spans="1:2" x14ac:dyDescent="0.35">
      <c r="A85" s="13" t="s">
        <v>183</v>
      </c>
      <c r="B85" t="s">
        <v>497</v>
      </c>
    </row>
    <row r="86" spans="1:2" x14ac:dyDescent="0.35">
      <c r="A86" s="13" t="s">
        <v>185</v>
      </c>
      <c r="B86" t="s">
        <v>53</v>
      </c>
    </row>
    <row r="87" spans="1:2" x14ac:dyDescent="0.35">
      <c r="A87" s="13" t="s">
        <v>187</v>
      </c>
      <c r="B87" t="s">
        <v>498</v>
      </c>
    </row>
    <row r="88" spans="1:2" x14ac:dyDescent="0.35">
      <c r="A88" s="13" t="s">
        <v>189</v>
      </c>
      <c r="B88" t="s">
        <v>499</v>
      </c>
    </row>
    <row r="89" spans="1:2" x14ac:dyDescent="0.35">
      <c r="A89" s="13" t="s">
        <v>191</v>
      </c>
      <c r="B89" t="s">
        <v>500</v>
      </c>
    </row>
    <row r="90" spans="1:2" x14ac:dyDescent="0.35">
      <c r="A90" s="13" t="s">
        <v>193</v>
      </c>
      <c r="B90" t="s">
        <v>501</v>
      </c>
    </row>
    <row r="91" spans="1:2" x14ac:dyDescent="0.35">
      <c r="A91" s="13" t="s">
        <v>195</v>
      </c>
      <c r="B91" t="s">
        <v>502</v>
      </c>
    </row>
    <row r="92" spans="1:2" x14ac:dyDescent="0.35">
      <c r="A92" s="13" t="s">
        <v>197</v>
      </c>
      <c r="B92" t="s">
        <v>503</v>
      </c>
    </row>
    <row r="93" spans="1:2" x14ac:dyDescent="0.35">
      <c r="A93" s="13" t="s">
        <v>199</v>
      </c>
      <c r="B93" t="s">
        <v>504</v>
      </c>
    </row>
    <row r="94" spans="1:2" x14ac:dyDescent="0.35">
      <c r="A94" s="13" t="s">
        <v>201</v>
      </c>
      <c r="B94" t="s">
        <v>505</v>
      </c>
    </row>
    <row r="95" spans="1:2" x14ac:dyDescent="0.35">
      <c r="A95" s="13" t="s">
        <v>203</v>
      </c>
      <c r="B95" t="s">
        <v>506</v>
      </c>
    </row>
    <row r="96" spans="1:2" x14ac:dyDescent="0.35">
      <c r="A96" s="13" t="s">
        <v>205</v>
      </c>
      <c r="B96" t="s">
        <v>507</v>
      </c>
    </row>
    <row r="97" spans="1:2" x14ac:dyDescent="0.35">
      <c r="A97" s="13" t="s">
        <v>207</v>
      </c>
      <c r="B97" t="s">
        <v>508</v>
      </c>
    </row>
    <row r="98" spans="1:2" x14ac:dyDescent="0.35">
      <c r="A98" s="13" t="s">
        <v>209</v>
      </c>
      <c r="B98" t="s">
        <v>509</v>
      </c>
    </row>
    <row r="99" spans="1:2" x14ac:dyDescent="0.35">
      <c r="A99" s="13" t="s">
        <v>211</v>
      </c>
      <c r="B99" t="s">
        <v>510</v>
      </c>
    </row>
    <row r="100" spans="1:2" x14ac:dyDescent="0.35">
      <c r="A100" s="13" t="s">
        <v>213</v>
      </c>
      <c r="B100" t="s">
        <v>511</v>
      </c>
    </row>
    <row r="101" spans="1:2" x14ac:dyDescent="0.35">
      <c r="A101" s="13" t="s">
        <v>215</v>
      </c>
      <c r="B101" t="s">
        <v>512</v>
      </c>
    </row>
    <row r="102" spans="1:2" x14ac:dyDescent="0.35">
      <c r="A102" s="13" t="s">
        <v>217</v>
      </c>
      <c r="B102" t="s">
        <v>513</v>
      </c>
    </row>
    <row r="103" spans="1:2" x14ac:dyDescent="0.35">
      <c r="A103" s="13" t="s">
        <v>219</v>
      </c>
      <c r="B103" t="s">
        <v>514</v>
      </c>
    </row>
    <row r="104" spans="1:2" x14ac:dyDescent="0.35">
      <c r="A104" s="13" t="s">
        <v>221</v>
      </c>
      <c r="B104" t="s">
        <v>55</v>
      </c>
    </row>
    <row r="105" spans="1:2" x14ac:dyDescent="0.35">
      <c r="A105" s="13" t="s">
        <v>223</v>
      </c>
      <c r="B105" t="s">
        <v>515</v>
      </c>
    </row>
    <row r="106" spans="1:2" x14ac:dyDescent="0.35">
      <c r="A106" s="13" t="s">
        <v>225</v>
      </c>
      <c r="B106" t="s">
        <v>516</v>
      </c>
    </row>
    <row r="107" spans="1:2" x14ac:dyDescent="0.35">
      <c r="A107" s="13" t="s">
        <v>227</v>
      </c>
      <c r="B107" t="s">
        <v>517</v>
      </c>
    </row>
    <row r="108" spans="1:2" x14ac:dyDescent="0.35">
      <c r="A108" s="13" t="s">
        <v>229</v>
      </c>
      <c r="B108" t="s">
        <v>518</v>
      </c>
    </row>
    <row r="109" spans="1:2" x14ac:dyDescent="0.35">
      <c r="A109" s="13" t="s">
        <v>231</v>
      </c>
      <c r="B109" t="s">
        <v>519</v>
      </c>
    </row>
    <row r="110" spans="1:2" x14ac:dyDescent="0.35">
      <c r="A110" s="13" t="s">
        <v>233</v>
      </c>
      <c r="B110" t="s">
        <v>520</v>
      </c>
    </row>
    <row r="111" spans="1:2" x14ac:dyDescent="0.35">
      <c r="A111" s="13" t="s">
        <v>235</v>
      </c>
      <c r="B111" t="s">
        <v>521</v>
      </c>
    </row>
    <row r="112" spans="1:2" x14ac:dyDescent="0.35">
      <c r="A112" s="13" t="s">
        <v>237</v>
      </c>
      <c r="B112" t="s">
        <v>522</v>
      </c>
    </row>
    <row r="113" spans="1:2" x14ac:dyDescent="0.35">
      <c r="A113" s="13" t="s">
        <v>239</v>
      </c>
      <c r="B113" t="s">
        <v>523</v>
      </c>
    </row>
    <row r="114" spans="1:2" x14ac:dyDescent="0.35">
      <c r="A114" s="13" t="s">
        <v>241</v>
      </c>
      <c r="B114" t="s">
        <v>524</v>
      </c>
    </row>
    <row r="115" spans="1:2" x14ac:dyDescent="0.35">
      <c r="A115" s="13" t="s">
        <v>243</v>
      </c>
      <c r="B115" t="s">
        <v>525</v>
      </c>
    </row>
    <row r="116" spans="1:2" x14ac:dyDescent="0.35">
      <c r="A116" s="13" t="s">
        <v>245</v>
      </c>
      <c r="B116" t="s">
        <v>57</v>
      </c>
    </row>
    <row r="117" spans="1:2" x14ac:dyDescent="0.35">
      <c r="A117" s="13" t="s">
        <v>247</v>
      </c>
      <c r="B117" t="s">
        <v>526</v>
      </c>
    </row>
    <row r="118" spans="1:2" x14ac:dyDescent="0.35">
      <c r="A118" s="13" t="s">
        <v>249</v>
      </c>
      <c r="B118" t="s">
        <v>527</v>
      </c>
    </row>
    <row r="119" spans="1:2" x14ac:dyDescent="0.35">
      <c r="A119" s="13" t="s">
        <v>251</v>
      </c>
      <c r="B119" t="s">
        <v>528</v>
      </c>
    </row>
    <row r="120" spans="1:2" x14ac:dyDescent="0.35">
      <c r="A120" s="13" t="s">
        <v>253</v>
      </c>
      <c r="B120" t="s">
        <v>529</v>
      </c>
    </row>
    <row r="121" spans="1:2" x14ac:dyDescent="0.35">
      <c r="A121" s="13" t="s">
        <v>255</v>
      </c>
      <c r="B121" t="s">
        <v>530</v>
      </c>
    </row>
    <row r="122" spans="1:2" x14ac:dyDescent="0.35">
      <c r="A122" s="13" t="s">
        <v>257</v>
      </c>
      <c r="B122" t="s">
        <v>531</v>
      </c>
    </row>
    <row r="123" spans="1:2" x14ac:dyDescent="0.35">
      <c r="A123" s="13" t="s">
        <v>259</v>
      </c>
      <c r="B123" t="s">
        <v>532</v>
      </c>
    </row>
    <row r="124" spans="1:2" x14ac:dyDescent="0.35">
      <c r="A124" s="13" t="s">
        <v>261</v>
      </c>
      <c r="B124" t="s">
        <v>533</v>
      </c>
    </row>
    <row r="125" spans="1:2" x14ac:dyDescent="0.35">
      <c r="A125" s="13" t="s">
        <v>263</v>
      </c>
      <c r="B125" t="s">
        <v>534</v>
      </c>
    </row>
    <row r="126" spans="1:2" x14ac:dyDescent="0.35">
      <c r="A126" s="13" t="s">
        <v>265</v>
      </c>
      <c r="B126" t="s">
        <v>535</v>
      </c>
    </row>
    <row r="127" spans="1:2" x14ac:dyDescent="0.35">
      <c r="A127" s="13" t="s">
        <v>267</v>
      </c>
      <c r="B127" t="s">
        <v>536</v>
      </c>
    </row>
    <row r="128" spans="1:2" x14ac:dyDescent="0.35">
      <c r="A128" s="13" t="s">
        <v>269</v>
      </c>
      <c r="B128" t="s">
        <v>537</v>
      </c>
    </row>
    <row r="129" spans="1:2" x14ac:dyDescent="0.35">
      <c r="A129" s="13" t="s">
        <v>271</v>
      </c>
      <c r="B129" t="s">
        <v>538</v>
      </c>
    </row>
    <row r="130" spans="1:2" x14ac:dyDescent="0.35">
      <c r="A130" s="13" t="s">
        <v>273</v>
      </c>
      <c r="B130" t="s">
        <v>539</v>
      </c>
    </row>
    <row r="131" spans="1:2" x14ac:dyDescent="0.35">
      <c r="A131" s="13" t="s">
        <v>275</v>
      </c>
      <c r="B131" t="s">
        <v>540</v>
      </c>
    </row>
    <row r="132" spans="1:2" x14ac:dyDescent="0.35">
      <c r="A132" s="13" t="s">
        <v>277</v>
      </c>
      <c r="B132" t="s">
        <v>541</v>
      </c>
    </row>
    <row r="133" spans="1:2" x14ac:dyDescent="0.35">
      <c r="A133" s="13" t="s">
        <v>279</v>
      </c>
      <c r="B133" t="s">
        <v>542</v>
      </c>
    </row>
    <row r="134" spans="1:2" x14ac:dyDescent="0.35">
      <c r="A134" s="13" t="s">
        <v>281</v>
      </c>
      <c r="B134" t="s">
        <v>543</v>
      </c>
    </row>
    <row r="135" spans="1:2" x14ac:dyDescent="0.35">
      <c r="A135" s="13" t="s">
        <v>283</v>
      </c>
      <c r="B135" t="s">
        <v>544</v>
      </c>
    </row>
    <row r="136" spans="1:2" x14ac:dyDescent="0.35">
      <c r="A136" s="13" t="s">
        <v>285</v>
      </c>
      <c r="B136" t="s">
        <v>545</v>
      </c>
    </row>
    <row r="137" spans="1:2" x14ac:dyDescent="0.35">
      <c r="A137" s="13" t="s">
        <v>287</v>
      </c>
      <c r="B137" t="s">
        <v>546</v>
      </c>
    </row>
    <row r="138" spans="1:2" x14ac:dyDescent="0.35">
      <c r="A138" s="13" t="s">
        <v>289</v>
      </c>
      <c r="B138" t="s">
        <v>547</v>
      </c>
    </row>
    <row r="139" spans="1:2" x14ac:dyDescent="0.35">
      <c r="A139" s="13" t="s">
        <v>291</v>
      </c>
      <c r="B139" t="s">
        <v>548</v>
      </c>
    </row>
    <row r="140" spans="1:2" x14ac:dyDescent="0.35">
      <c r="A140" s="13" t="s">
        <v>293</v>
      </c>
      <c r="B140" t="s">
        <v>549</v>
      </c>
    </row>
    <row r="141" spans="1:2" x14ac:dyDescent="0.35">
      <c r="A141" s="13" t="s">
        <v>295</v>
      </c>
      <c r="B141" t="s">
        <v>550</v>
      </c>
    </row>
    <row r="142" spans="1:2" x14ac:dyDescent="0.35">
      <c r="A142" s="13" t="s">
        <v>297</v>
      </c>
      <c r="B142" t="s">
        <v>551</v>
      </c>
    </row>
    <row r="143" spans="1:2" x14ac:dyDescent="0.35">
      <c r="A143" s="13" t="s">
        <v>299</v>
      </c>
      <c r="B143" t="s">
        <v>552</v>
      </c>
    </row>
    <row r="144" spans="1:2" x14ac:dyDescent="0.35">
      <c r="A144" s="13" t="s">
        <v>301</v>
      </c>
      <c r="B144" t="s">
        <v>553</v>
      </c>
    </row>
    <row r="145" spans="1:2" x14ac:dyDescent="0.35">
      <c r="A145" s="13" t="s">
        <v>303</v>
      </c>
      <c r="B145" t="s">
        <v>554</v>
      </c>
    </row>
    <row r="146" spans="1:2" x14ac:dyDescent="0.35">
      <c r="A146" s="13" t="s">
        <v>305</v>
      </c>
      <c r="B146" t="s">
        <v>555</v>
      </c>
    </row>
    <row r="147" spans="1:2" x14ac:dyDescent="0.35">
      <c r="A147" s="13" t="s">
        <v>307</v>
      </c>
      <c r="B147" t="s">
        <v>556</v>
      </c>
    </row>
    <row r="148" spans="1:2" x14ac:dyDescent="0.35">
      <c r="A148" s="13" t="s">
        <v>309</v>
      </c>
      <c r="B148" t="s">
        <v>557</v>
      </c>
    </row>
    <row r="149" spans="1:2" x14ac:dyDescent="0.35">
      <c r="A149" s="13" t="s">
        <v>311</v>
      </c>
      <c r="B149" t="s">
        <v>558</v>
      </c>
    </row>
    <row r="150" spans="1:2" x14ac:dyDescent="0.35">
      <c r="A150" s="13" t="s">
        <v>313</v>
      </c>
      <c r="B150" t="s">
        <v>559</v>
      </c>
    </row>
    <row r="151" spans="1:2" x14ac:dyDescent="0.35">
      <c r="A151" s="13" t="s">
        <v>315</v>
      </c>
      <c r="B151" t="s">
        <v>560</v>
      </c>
    </row>
    <row r="152" spans="1:2" x14ac:dyDescent="0.35">
      <c r="A152" s="13" t="s">
        <v>317</v>
      </c>
      <c r="B152" t="s">
        <v>561</v>
      </c>
    </row>
    <row r="153" spans="1:2" x14ac:dyDescent="0.35">
      <c r="A153" s="13" t="s">
        <v>319</v>
      </c>
      <c r="B153" t="s">
        <v>562</v>
      </c>
    </row>
    <row r="154" spans="1:2" x14ac:dyDescent="0.35">
      <c r="A154" s="13" t="s">
        <v>321</v>
      </c>
      <c r="B154" t="s">
        <v>563</v>
      </c>
    </row>
    <row r="155" spans="1:2" x14ac:dyDescent="0.35">
      <c r="A155" s="13" t="s">
        <v>323</v>
      </c>
      <c r="B155" t="s">
        <v>564</v>
      </c>
    </row>
    <row r="156" spans="1:2" x14ac:dyDescent="0.35">
      <c r="A156" s="13" t="s">
        <v>325</v>
      </c>
      <c r="B156" t="s">
        <v>565</v>
      </c>
    </row>
    <row r="157" spans="1:2" x14ac:dyDescent="0.35">
      <c r="A157" s="13" t="s">
        <v>327</v>
      </c>
      <c r="B157" t="s">
        <v>566</v>
      </c>
    </row>
    <row r="158" spans="1:2" x14ac:dyDescent="0.35">
      <c r="A158" s="13" t="s">
        <v>329</v>
      </c>
      <c r="B158" t="s">
        <v>567</v>
      </c>
    </row>
    <row r="159" spans="1:2" x14ac:dyDescent="0.35">
      <c r="A159" s="13" t="s">
        <v>331</v>
      </c>
      <c r="B159" t="s">
        <v>568</v>
      </c>
    </row>
    <row r="160" spans="1:2" x14ac:dyDescent="0.35">
      <c r="A160" s="13" t="s">
        <v>333</v>
      </c>
      <c r="B160" t="s">
        <v>569</v>
      </c>
    </row>
    <row r="161" spans="1:2" x14ac:dyDescent="0.35">
      <c r="A161" s="13" t="s">
        <v>335</v>
      </c>
      <c r="B161" t="s">
        <v>570</v>
      </c>
    </row>
    <row r="162" spans="1:2" x14ac:dyDescent="0.35">
      <c r="A162" s="13" t="s">
        <v>337</v>
      </c>
      <c r="B162" t="s">
        <v>571</v>
      </c>
    </row>
    <row r="163" spans="1:2" x14ac:dyDescent="0.35">
      <c r="A163" s="13" t="s">
        <v>339</v>
      </c>
      <c r="B163" t="s">
        <v>572</v>
      </c>
    </row>
    <row r="164" spans="1:2" x14ac:dyDescent="0.35">
      <c r="A164" s="13" t="s">
        <v>341</v>
      </c>
      <c r="B164" t="s">
        <v>573</v>
      </c>
    </row>
    <row r="165" spans="1:2" x14ac:dyDescent="0.35">
      <c r="A165" s="13" t="s">
        <v>343</v>
      </c>
      <c r="B165" t="s">
        <v>574</v>
      </c>
    </row>
    <row r="166" spans="1:2" x14ac:dyDescent="0.35">
      <c r="A166" s="13" t="s">
        <v>345</v>
      </c>
      <c r="B166" t="s">
        <v>575</v>
      </c>
    </row>
    <row r="167" spans="1:2" x14ac:dyDescent="0.35">
      <c r="A167" s="13" t="s">
        <v>347</v>
      </c>
      <c r="B167" t="s">
        <v>576</v>
      </c>
    </row>
    <row r="168" spans="1:2" x14ac:dyDescent="0.35">
      <c r="A168" s="13" t="s">
        <v>349</v>
      </c>
      <c r="B168" t="s">
        <v>577</v>
      </c>
    </row>
    <row r="169" spans="1:2" x14ac:dyDescent="0.35">
      <c r="A169" s="13" t="s">
        <v>351</v>
      </c>
      <c r="B169" t="s">
        <v>578</v>
      </c>
    </row>
    <row r="170" spans="1:2" x14ac:dyDescent="0.35">
      <c r="A170" s="13" t="s">
        <v>353</v>
      </c>
      <c r="B170" t="s">
        <v>579</v>
      </c>
    </row>
    <row r="171" spans="1:2" x14ac:dyDescent="0.35">
      <c r="A171" s="13" t="s">
        <v>355</v>
      </c>
      <c r="B171" t="s">
        <v>580</v>
      </c>
    </row>
    <row r="172" spans="1:2" x14ac:dyDescent="0.35">
      <c r="A172" s="13" t="s">
        <v>357</v>
      </c>
      <c r="B172" t="s">
        <v>581</v>
      </c>
    </row>
    <row r="173" spans="1:2" x14ac:dyDescent="0.35">
      <c r="A173" s="13" t="s">
        <v>359</v>
      </c>
      <c r="B173" t="s">
        <v>582</v>
      </c>
    </row>
    <row r="174" spans="1:2" x14ac:dyDescent="0.35">
      <c r="A174" s="13" t="s">
        <v>361</v>
      </c>
      <c r="B174" t="s">
        <v>583</v>
      </c>
    </row>
    <row r="175" spans="1:2" x14ac:dyDescent="0.35">
      <c r="A175" s="13" t="s">
        <v>363</v>
      </c>
      <c r="B175" t="s">
        <v>584</v>
      </c>
    </row>
    <row r="176" spans="1:2" x14ac:dyDescent="0.35">
      <c r="A176" s="13" t="s">
        <v>365</v>
      </c>
      <c r="B176" t="s">
        <v>585</v>
      </c>
    </row>
    <row r="177" spans="1:2" x14ac:dyDescent="0.35">
      <c r="A177" s="13" t="s">
        <v>367</v>
      </c>
      <c r="B177" t="s">
        <v>586</v>
      </c>
    </row>
    <row r="178" spans="1:2" x14ac:dyDescent="0.35">
      <c r="A178" s="13" t="s">
        <v>369</v>
      </c>
      <c r="B178" t="s">
        <v>587</v>
      </c>
    </row>
    <row r="179" spans="1:2" x14ac:dyDescent="0.35">
      <c r="A179" s="13" t="s">
        <v>371</v>
      </c>
      <c r="B179" t="s">
        <v>588</v>
      </c>
    </row>
    <row r="180" spans="1:2" x14ac:dyDescent="0.35">
      <c r="A180" s="13" t="s">
        <v>373</v>
      </c>
      <c r="B180" t="s">
        <v>589</v>
      </c>
    </row>
    <row r="181" spans="1:2" x14ac:dyDescent="0.35">
      <c r="A181" s="13" t="s">
        <v>375</v>
      </c>
      <c r="B181" t="s">
        <v>590</v>
      </c>
    </row>
    <row r="182" spans="1:2" x14ac:dyDescent="0.35">
      <c r="A182" s="13" t="s">
        <v>377</v>
      </c>
      <c r="B182" t="s">
        <v>591</v>
      </c>
    </row>
    <row r="183" spans="1:2" x14ac:dyDescent="0.35">
      <c r="A183" s="13" t="s">
        <v>379</v>
      </c>
      <c r="B183" t="s">
        <v>592</v>
      </c>
    </row>
    <row r="184" spans="1:2" x14ac:dyDescent="0.35">
      <c r="A184" s="13" t="s">
        <v>381</v>
      </c>
      <c r="B184" t="s">
        <v>593</v>
      </c>
    </row>
    <row r="185" spans="1:2" x14ac:dyDescent="0.35">
      <c r="A185" s="13" t="s">
        <v>383</v>
      </c>
      <c r="B185" t="s">
        <v>594</v>
      </c>
    </row>
    <row r="186" spans="1:2" x14ac:dyDescent="0.35">
      <c r="A186" s="13" t="s">
        <v>385</v>
      </c>
      <c r="B186" t="s">
        <v>595</v>
      </c>
    </row>
    <row r="187" spans="1:2" x14ac:dyDescent="0.35">
      <c r="A187" s="13" t="s">
        <v>387</v>
      </c>
      <c r="B187" t="s">
        <v>596</v>
      </c>
    </row>
    <row r="188" spans="1:2" x14ac:dyDescent="0.35">
      <c r="A188" s="13" t="s">
        <v>389</v>
      </c>
      <c r="B188" t="s">
        <v>597</v>
      </c>
    </row>
    <row r="189" spans="1:2" x14ac:dyDescent="0.35">
      <c r="A189" s="13" t="s">
        <v>391</v>
      </c>
      <c r="B189" t="s">
        <v>59</v>
      </c>
    </row>
    <row r="190" spans="1:2" x14ac:dyDescent="0.35">
      <c r="A190" s="13" t="s">
        <v>393</v>
      </c>
      <c r="B190" t="s">
        <v>61</v>
      </c>
    </row>
    <row r="191" spans="1:2" x14ac:dyDescent="0.35">
      <c r="A191" s="13" t="s">
        <v>395</v>
      </c>
      <c r="B191" t="s">
        <v>63</v>
      </c>
    </row>
    <row r="192" spans="1:2" x14ac:dyDescent="0.35">
      <c r="A192" s="13" t="s">
        <v>397</v>
      </c>
      <c r="B192" t="s">
        <v>65</v>
      </c>
    </row>
    <row r="193" spans="1:2" x14ac:dyDescent="0.35">
      <c r="A193" s="13" t="s">
        <v>399</v>
      </c>
      <c r="B193" t="s">
        <v>67</v>
      </c>
    </row>
    <row r="194" spans="1:2" x14ac:dyDescent="0.35">
      <c r="A194" s="13" t="s">
        <v>401</v>
      </c>
      <c r="B194" t="s">
        <v>598</v>
      </c>
    </row>
    <row r="195" spans="1:2" x14ac:dyDescent="0.35">
      <c r="A195" s="13" t="s">
        <v>403</v>
      </c>
      <c r="B195" t="s">
        <v>69</v>
      </c>
    </row>
    <row r="196" spans="1:2" x14ac:dyDescent="0.35">
      <c r="A196" s="13" t="s">
        <v>405</v>
      </c>
      <c r="B196" t="s">
        <v>71</v>
      </c>
    </row>
    <row r="197" spans="1:2" x14ac:dyDescent="0.35">
      <c r="A197" s="13" t="s">
        <v>407</v>
      </c>
      <c r="B197" t="s">
        <v>599</v>
      </c>
    </row>
    <row r="198" spans="1:2" x14ac:dyDescent="0.35">
      <c r="A198" s="13" t="s">
        <v>408</v>
      </c>
      <c r="B198" t="s">
        <v>600</v>
      </c>
    </row>
    <row r="199" spans="1:2" x14ac:dyDescent="0.35">
      <c r="A199" s="13" t="s">
        <v>410</v>
      </c>
      <c r="B199" t="s">
        <v>601</v>
      </c>
    </row>
    <row r="200" spans="1:2" x14ac:dyDescent="0.35">
      <c r="A200" s="13" t="s">
        <v>412</v>
      </c>
      <c r="B200" t="s">
        <v>602</v>
      </c>
    </row>
    <row r="201" spans="1:2" x14ac:dyDescent="0.35">
      <c r="A201" s="13" t="s">
        <v>414</v>
      </c>
      <c r="B201" t="s">
        <v>603</v>
      </c>
    </row>
    <row r="202" spans="1:2" x14ac:dyDescent="0.35">
      <c r="A202" s="13" t="s">
        <v>416</v>
      </c>
      <c r="B202" t="s">
        <v>73</v>
      </c>
    </row>
    <row r="203" spans="1:2" x14ac:dyDescent="0.35">
      <c r="A203" s="13" t="s">
        <v>418</v>
      </c>
      <c r="B203" t="s">
        <v>604</v>
      </c>
    </row>
    <row r="204" spans="1:2" x14ac:dyDescent="0.35">
      <c r="A204" s="13" t="s">
        <v>420</v>
      </c>
      <c r="B204" t="s">
        <v>605</v>
      </c>
    </row>
    <row r="205" spans="1:2" x14ac:dyDescent="0.35">
      <c r="A205" s="13" t="s">
        <v>422</v>
      </c>
      <c r="B205" t="s">
        <v>75</v>
      </c>
    </row>
    <row r="206" spans="1:2" x14ac:dyDescent="0.35">
      <c r="A206" s="13" t="s">
        <v>424</v>
      </c>
      <c r="B206" t="s">
        <v>606</v>
      </c>
    </row>
    <row r="207" spans="1:2" x14ac:dyDescent="0.35">
      <c r="A207" s="13" t="s">
        <v>426</v>
      </c>
      <c r="B207" t="s">
        <v>607</v>
      </c>
    </row>
    <row r="208" spans="1:2" x14ac:dyDescent="0.35">
      <c r="A208" s="13" t="s">
        <v>428</v>
      </c>
      <c r="B208" t="s">
        <v>608</v>
      </c>
    </row>
    <row r="209" spans="1:2" x14ac:dyDescent="0.35">
      <c r="A209" s="13" t="s">
        <v>430</v>
      </c>
      <c r="B209" t="s">
        <v>609</v>
      </c>
    </row>
    <row r="210" spans="1:2" x14ac:dyDescent="0.35">
      <c r="B210" t="s">
        <v>77</v>
      </c>
    </row>
    <row r="211" spans="1:2" x14ac:dyDescent="0.35">
      <c r="B211" t="s">
        <v>610</v>
      </c>
    </row>
    <row r="212" spans="1:2" x14ac:dyDescent="0.35">
      <c r="B212" t="s">
        <v>79</v>
      </c>
    </row>
    <row r="213" spans="1:2" x14ac:dyDescent="0.35">
      <c r="B213" t="s">
        <v>611</v>
      </c>
    </row>
    <row r="214" spans="1:2" x14ac:dyDescent="0.35">
      <c r="B214" t="s">
        <v>612</v>
      </c>
    </row>
    <row r="215" spans="1:2" x14ac:dyDescent="0.35">
      <c r="B215" t="s">
        <v>613</v>
      </c>
    </row>
    <row r="216" spans="1:2" x14ac:dyDescent="0.35">
      <c r="B216" t="s">
        <v>614</v>
      </c>
    </row>
    <row r="217" spans="1:2" x14ac:dyDescent="0.35">
      <c r="B217" t="s">
        <v>615</v>
      </c>
    </row>
    <row r="218" spans="1:2" x14ac:dyDescent="0.35">
      <c r="B218" t="s">
        <v>616</v>
      </c>
    </row>
    <row r="219" spans="1:2" x14ac:dyDescent="0.35">
      <c r="B219" t="s">
        <v>617</v>
      </c>
    </row>
    <row r="220" spans="1:2" x14ac:dyDescent="0.35">
      <c r="B220" t="s">
        <v>618</v>
      </c>
    </row>
    <row r="221" spans="1:2" x14ac:dyDescent="0.35">
      <c r="B221" t="s">
        <v>619</v>
      </c>
    </row>
    <row r="222" spans="1:2" x14ac:dyDescent="0.35">
      <c r="B222" t="s">
        <v>620</v>
      </c>
    </row>
    <row r="223" spans="1:2" x14ac:dyDescent="0.35">
      <c r="B223" t="s">
        <v>621</v>
      </c>
    </row>
    <row r="224" spans="1:2" x14ac:dyDescent="0.35">
      <c r="B224" t="s">
        <v>622</v>
      </c>
    </row>
    <row r="225" spans="2:2" x14ac:dyDescent="0.35">
      <c r="B225" t="s">
        <v>623</v>
      </c>
    </row>
    <row r="226" spans="2:2" x14ac:dyDescent="0.35">
      <c r="B226" t="s">
        <v>624</v>
      </c>
    </row>
    <row r="227" spans="2:2" x14ac:dyDescent="0.35">
      <c r="B227" t="s">
        <v>81</v>
      </c>
    </row>
    <row r="228" spans="2:2" x14ac:dyDescent="0.35">
      <c r="B228" t="s">
        <v>625</v>
      </c>
    </row>
    <row r="229" spans="2:2" x14ac:dyDescent="0.35">
      <c r="B229" t="s">
        <v>626</v>
      </c>
    </row>
    <row r="230" spans="2:2" x14ac:dyDescent="0.35">
      <c r="B230" t="s">
        <v>627</v>
      </c>
    </row>
    <row r="231" spans="2:2" x14ac:dyDescent="0.35">
      <c r="B231" t="s">
        <v>83</v>
      </c>
    </row>
    <row r="232" spans="2:2" x14ac:dyDescent="0.35">
      <c r="B232" t="s">
        <v>628</v>
      </c>
    </row>
    <row r="233" spans="2:2" x14ac:dyDescent="0.35">
      <c r="B233" t="s">
        <v>629</v>
      </c>
    </row>
    <row r="234" spans="2:2" x14ac:dyDescent="0.35">
      <c r="B234" t="s">
        <v>630</v>
      </c>
    </row>
    <row r="235" spans="2:2" x14ac:dyDescent="0.35">
      <c r="B235" t="s">
        <v>631</v>
      </c>
    </row>
    <row r="236" spans="2:2" x14ac:dyDescent="0.35">
      <c r="B236" t="s">
        <v>85</v>
      </c>
    </row>
    <row r="237" spans="2:2" x14ac:dyDescent="0.35">
      <c r="B237" t="s">
        <v>87</v>
      </c>
    </row>
    <row r="238" spans="2:2" x14ac:dyDescent="0.35">
      <c r="B238" t="s">
        <v>89</v>
      </c>
    </row>
    <row r="239" spans="2:2" x14ac:dyDescent="0.35">
      <c r="B239" t="s">
        <v>91</v>
      </c>
    </row>
    <row r="240" spans="2:2" x14ac:dyDescent="0.35">
      <c r="B240" t="s">
        <v>93</v>
      </c>
    </row>
    <row r="241" spans="2:2" x14ac:dyDescent="0.35">
      <c r="B241" t="s">
        <v>95</v>
      </c>
    </row>
    <row r="242" spans="2:2" x14ac:dyDescent="0.35">
      <c r="B242" t="s">
        <v>97</v>
      </c>
    </row>
    <row r="243" spans="2:2" x14ac:dyDescent="0.35">
      <c r="B243" t="s">
        <v>99</v>
      </c>
    </row>
    <row r="244" spans="2:2" x14ac:dyDescent="0.35">
      <c r="B244" t="s">
        <v>101</v>
      </c>
    </row>
    <row r="245" spans="2:2" x14ac:dyDescent="0.35">
      <c r="B245" t="s">
        <v>632</v>
      </c>
    </row>
    <row r="246" spans="2:2" x14ac:dyDescent="0.35">
      <c r="B246" t="s">
        <v>103</v>
      </c>
    </row>
    <row r="247" spans="2:2" x14ac:dyDescent="0.35">
      <c r="B247" t="s">
        <v>633</v>
      </c>
    </row>
    <row r="248" spans="2:2" x14ac:dyDescent="0.35">
      <c r="B248" t="s">
        <v>105</v>
      </c>
    </row>
    <row r="249" spans="2:2" x14ac:dyDescent="0.35">
      <c r="B249" t="s">
        <v>107</v>
      </c>
    </row>
    <row r="250" spans="2:2" x14ac:dyDescent="0.35">
      <c r="B250" t="s">
        <v>109</v>
      </c>
    </row>
    <row r="251" spans="2:2" x14ac:dyDescent="0.35">
      <c r="B251" t="s">
        <v>111</v>
      </c>
    </row>
    <row r="252" spans="2:2" x14ac:dyDescent="0.35">
      <c r="B252" t="s">
        <v>113</v>
      </c>
    </row>
    <row r="253" spans="2:2" x14ac:dyDescent="0.35">
      <c r="B253" t="s">
        <v>115</v>
      </c>
    </row>
    <row r="254" spans="2:2" x14ac:dyDescent="0.35">
      <c r="B254" t="s">
        <v>117</v>
      </c>
    </row>
    <row r="255" spans="2:2" x14ac:dyDescent="0.35">
      <c r="B255" t="s">
        <v>119</v>
      </c>
    </row>
    <row r="256" spans="2:2" x14ac:dyDescent="0.35">
      <c r="B256" t="s">
        <v>121</v>
      </c>
    </row>
    <row r="257" spans="2:2" x14ac:dyDescent="0.35">
      <c r="B257" t="s">
        <v>123</v>
      </c>
    </row>
    <row r="258" spans="2:2" x14ac:dyDescent="0.35">
      <c r="B258" t="s">
        <v>125</v>
      </c>
    </row>
    <row r="259" spans="2:2" x14ac:dyDescent="0.35">
      <c r="B259" t="s">
        <v>127</v>
      </c>
    </row>
    <row r="260" spans="2:2" x14ac:dyDescent="0.35">
      <c r="B260" t="s">
        <v>129</v>
      </c>
    </row>
    <row r="261" spans="2:2" x14ac:dyDescent="0.35">
      <c r="B261" t="s">
        <v>131</v>
      </c>
    </row>
    <row r="262" spans="2:2" x14ac:dyDescent="0.35">
      <c r="B262" t="s">
        <v>133</v>
      </c>
    </row>
    <row r="263" spans="2:2" x14ac:dyDescent="0.35">
      <c r="B263" t="s">
        <v>135</v>
      </c>
    </row>
    <row r="264" spans="2:2" x14ac:dyDescent="0.35">
      <c r="B264" t="s">
        <v>137</v>
      </c>
    </row>
    <row r="265" spans="2:2" x14ac:dyDescent="0.35">
      <c r="B265" t="s">
        <v>139</v>
      </c>
    </row>
    <row r="266" spans="2:2" x14ac:dyDescent="0.35">
      <c r="B266" t="s">
        <v>634</v>
      </c>
    </row>
    <row r="267" spans="2:2" x14ac:dyDescent="0.35">
      <c r="B267" t="s">
        <v>635</v>
      </c>
    </row>
    <row r="268" spans="2:2" x14ac:dyDescent="0.35">
      <c r="B268" t="s">
        <v>636</v>
      </c>
    </row>
    <row r="269" spans="2:2" x14ac:dyDescent="0.35">
      <c r="B269" t="s">
        <v>141</v>
      </c>
    </row>
    <row r="270" spans="2:2" x14ac:dyDescent="0.35">
      <c r="B270" t="s">
        <v>143</v>
      </c>
    </row>
    <row r="271" spans="2:2" x14ac:dyDescent="0.35">
      <c r="B271" t="s">
        <v>637</v>
      </c>
    </row>
    <row r="272" spans="2:2" x14ac:dyDescent="0.35">
      <c r="B272" t="s">
        <v>145</v>
      </c>
    </row>
    <row r="273" spans="2:2" x14ac:dyDescent="0.35">
      <c r="B273" t="s">
        <v>147</v>
      </c>
    </row>
    <row r="274" spans="2:2" x14ac:dyDescent="0.35">
      <c r="B274" t="s">
        <v>149</v>
      </c>
    </row>
    <row r="275" spans="2:2" x14ac:dyDescent="0.35">
      <c r="B275" t="s">
        <v>151</v>
      </c>
    </row>
    <row r="276" spans="2:2" x14ac:dyDescent="0.35">
      <c r="B276" t="s">
        <v>153</v>
      </c>
    </row>
    <row r="277" spans="2:2" x14ac:dyDescent="0.35">
      <c r="B277" t="s">
        <v>155</v>
      </c>
    </row>
    <row r="278" spans="2:2" x14ac:dyDescent="0.35">
      <c r="B278" t="s">
        <v>157</v>
      </c>
    </row>
    <row r="279" spans="2:2" x14ac:dyDescent="0.35">
      <c r="B279" t="s">
        <v>159</v>
      </c>
    </row>
    <row r="280" spans="2:2" x14ac:dyDescent="0.35">
      <c r="B280" t="s">
        <v>161</v>
      </c>
    </row>
    <row r="281" spans="2:2" x14ac:dyDescent="0.35">
      <c r="B281" t="s">
        <v>163</v>
      </c>
    </row>
    <row r="282" spans="2:2" x14ac:dyDescent="0.35">
      <c r="B282" t="s">
        <v>165</v>
      </c>
    </row>
    <row r="283" spans="2:2" x14ac:dyDescent="0.35">
      <c r="B283" t="s">
        <v>167</v>
      </c>
    </row>
    <row r="284" spans="2:2" x14ac:dyDescent="0.35">
      <c r="B284" t="s">
        <v>169</v>
      </c>
    </row>
    <row r="285" spans="2:2" x14ac:dyDescent="0.35">
      <c r="B285" t="s">
        <v>171</v>
      </c>
    </row>
    <row r="286" spans="2:2" x14ac:dyDescent="0.35">
      <c r="B286" t="s">
        <v>173</v>
      </c>
    </row>
    <row r="287" spans="2:2" x14ac:dyDescent="0.35">
      <c r="B287" t="s">
        <v>175</v>
      </c>
    </row>
    <row r="288" spans="2:2" x14ac:dyDescent="0.35">
      <c r="B288" t="s">
        <v>177</v>
      </c>
    </row>
    <row r="289" spans="2:2" x14ac:dyDescent="0.35">
      <c r="B289" t="s">
        <v>179</v>
      </c>
    </row>
    <row r="290" spans="2:2" x14ac:dyDescent="0.35">
      <c r="B290" t="s">
        <v>181</v>
      </c>
    </row>
    <row r="291" spans="2:2" x14ac:dyDescent="0.35">
      <c r="B291" t="s">
        <v>183</v>
      </c>
    </row>
    <row r="292" spans="2:2" x14ac:dyDescent="0.35">
      <c r="B292" t="s">
        <v>185</v>
      </c>
    </row>
    <row r="293" spans="2:2" x14ac:dyDescent="0.35">
      <c r="B293" t="s">
        <v>187</v>
      </c>
    </row>
    <row r="294" spans="2:2" x14ac:dyDescent="0.35">
      <c r="B294" t="s">
        <v>189</v>
      </c>
    </row>
    <row r="295" spans="2:2" x14ac:dyDescent="0.35">
      <c r="B295" t="s">
        <v>191</v>
      </c>
    </row>
    <row r="296" spans="2:2" x14ac:dyDescent="0.35">
      <c r="B296" t="s">
        <v>193</v>
      </c>
    </row>
    <row r="297" spans="2:2" x14ac:dyDescent="0.35">
      <c r="B297" t="s">
        <v>195</v>
      </c>
    </row>
    <row r="298" spans="2:2" x14ac:dyDescent="0.35">
      <c r="B298" t="s">
        <v>197</v>
      </c>
    </row>
    <row r="299" spans="2:2" x14ac:dyDescent="0.35">
      <c r="B299" t="s">
        <v>638</v>
      </c>
    </row>
    <row r="300" spans="2:2" x14ac:dyDescent="0.35">
      <c r="B300" t="s">
        <v>199</v>
      </c>
    </row>
    <row r="301" spans="2:2" x14ac:dyDescent="0.35">
      <c r="B301" t="s">
        <v>201</v>
      </c>
    </row>
    <row r="302" spans="2:2" x14ac:dyDescent="0.35">
      <c r="B302" t="s">
        <v>203</v>
      </c>
    </row>
    <row r="303" spans="2:2" x14ac:dyDescent="0.35">
      <c r="B303" t="s">
        <v>205</v>
      </c>
    </row>
    <row r="304" spans="2:2" x14ac:dyDescent="0.35">
      <c r="B304" t="s">
        <v>207</v>
      </c>
    </row>
    <row r="305" spans="2:2" x14ac:dyDescent="0.35">
      <c r="B305" t="s">
        <v>209</v>
      </c>
    </row>
    <row r="306" spans="2:2" x14ac:dyDescent="0.35">
      <c r="B306" t="s">
        <v>211</v>
      </c>
    </row>
    <row r="307" spans="2:2" x14ac:dyDescent="0.35">
      <c r="B307" t="s">
        <v>213</v>
      </c>
    </row>
    <row r="308" spans="2:2" x14ac:dyDescent="0.35">
      <c r="B308" t="s">
        <v>215</v>
      </c>
    </row>
    <row r="309" spans="2:2" x14ac:dyDescent="0.35">
      <c r="B309" t="s">
        <v>217</v>
      </c>
    </row>
    <row r="310" spans="2:2" x14ac:dyDescent="0.35">
      <c r="B310" t="s">
        <v>219</v>
      </c>
    </row>
    <row r="311" spans="2:2" x14ac:dyDescent="0.35">
      <c r="B311" t="s">
        <v>221</v>
      </c>
    </row>
    <row r="312" spans="2:2" x14ac:dyDescent="0.35">
      <c r="B312" t="s">
        <v>223</v>
      </c>
    </row>
    <row r="313" spans="2:2" x14ac:dyDescent="0.35">
      <c r="B313" t="s">
        <v>225</v>
      </c>
    </row>
    <row r="314" spans="2:2" x14ac:dyDescent="0.35">
      <c r="B314" t="s">
        <v>227</v>
      </c>
    </row>
    <row r="315" spans="2:2" x14ac:dyDescent="0.35">
      <c r="B315" t="s">
        <v>229</v>
      </c>
    </row>
    <row r="316" spans="2:2" x14ac:dyDescent="0.35">
      <c r="B316" t="s">
        <v>231</v>
      </c>
    </row>
    <row r="317" spans="2:2" x14ac:dyDescent="0.35">
      <c r="B317" t="s">
        <v>233</v>
      </c>
    </row>
    <row r="318" spans="2:2" x14ac:dyDescent="0.35">
      <c r="B318" t="s">
        <v>235</v>
      </c>
    </row>
    <row r="319" spans="2:2" x14ac:dyDescent="0.35">
      <c r="B319" t="s">
        <v>237</v>
      </c>
    </row>
    <row r="320" spans="2:2" x14ac:dyDescent="0.35">
      <c r="B320" t="s">
        <v>239</v>
      </c>
    </row>
    <row r="321" spans="2:2" x14ac:dyDescent="0.35">
      <c r="B321" t="s">
        <v>241</v>
      </c>
    </row>
    <row r="322" spans="2:2" x14ac:dyDescent="0.35">
      <c r="B322" t="s">
        <v>243</v>
      </c>
    </row>
    <row r="323" spans="2:2" x14ac:dyDescent="0.35">
      <c r="B323" t="s">
        <v>245</v>
      </c>
    </row>
    <row r="324" spans="2:2" x14ac:dyDescent="0.35">
      <c r="B324" t="s">
        <v>247</v>
      </c>
    </row>
    <row r="325" spans="2:2" x14ac:dyDescent="0.35">
      <c r="B325" t="s">
        <v>249</v>
      </c>
    </row>
    <row r="326" spans="2:2" x14ac:dyDescent="0.35">
      <c r="B326" t="s">
        <v>251</v>
      </c>
    </row>
    <row r="327" spans="2:2" x14ac:dyDescent="0.35">
      <c r="B327" t="s">
        <v>253</v>
      </c>
    </row>
    <row r="328" spans="2:2" x14ac:dyDescent="0.35">
      <c r="B328" t="s">
        <v>255</v>
      </c>
    </row>
    <row r="329" spans="2:2" x14ac:dyDescent="0.35">
      <c r="B329" t="s">
        <v>257</v>
      </c>
    </row>
    <row r="330" spans="2:2" x14ac:dyDescent="0.35">
      <c r="B330" t="s">
        <v>259</v>
      </c>
    </row>
    <row r="331" spans="2:2" x14ac:dyDescent="0.35">
      <c r="B331" t="s">
        <v>261</v>
      </c>
    </row>
    <row r="332" spans="2:2" x14ac:dyDescent="0.35">
      <c r="B332" t="s">
        <v>263</v>
      </c>
    </row>
    <row r="333" spans="2:2" x14ac:dyDescent="0.35">
      <c r="B333" t="s">
        <v>265</v>
      </c>
    </row>
    <row r="334" spans="2:2" x14ac:dyDescent="0.35">
      <c r="B334" t="s">
        <v>267</v>
      </c>
    </row>
    <row r="335" spans="2:2" x14ac:dyDescent="0.35">
      <c r="B335" t="s">
        <v>269</v>
      </c>
    </row>
    <row r="336" spans="2:2" x14ac:dyDescent="0.35">
      <c r="B336" t="s">
        <v>271</v>
      </c>
    </row>
    <row r="337" spans="2:2" x14ac:dyDescent="0.35">
      <c r="B337" t="s">
        <v>273</v>
      </c>
    </row>
    <row r="338" spans="2:2" x14ac:dyDescent="0.35">
      <c r="B338" t="s">
        <v>275</v>
      </c>
    </row>
    <row r="339" spans="2:2" x14ac:dyDescent="0.35">
      <c r="B339" t="s">
        <v>277</v>
      </c>
    </row>
    <row r="340" spans="2:2" x14ac:dyDescent="0.35">
      <c r="B340" t="s">
        <v>279</v>
      </c>
    </row>
    <row r="341" spans="2:2" x14ac:dyDescent="0.35">
      <c r="B341" t="s">
        <v>281</v>
      </c>
    </row>
    <row r="342" spans="2:2" x14ac:dyDescent="0.35">
      <c r="B342" t="s">
        <v>283</v>
      </c>
    </row>
    <row r="343" spans="2:2" x14ac:dyDescent="0.35">
      <c r="B343" t="s">
        <v>285</v>
      </c>
    </row>
    <row r="344" spans="2:2" x14ac:dyDescent="0.35">
      <c r="B344" t="s">
        <v>287</v>
      </c>
    </row>
    <row r="345" spans="2:2" x14ac:dyDescent="0.35">
      <c r="B345" t="s">
        <v>289</v>
      </c>
    </row>
    <row r="346" spans="2:2" x14ac:dyDescent="0.35">
      <c r="B346" t="s">
        <v>291</v>
      </c>
    </row>
    <row r="347" spans="2:2" x14ac:dyDescent="0.35">
      <c r="B347" t="s">
        <v>639</v>
      </c>
    </row>
    <row r="348" spans="2:2" x14ac:dyDescent="0.35">
      <c r="B348" t="s">
        <v>293</v>
      </c>
    </row>
    <row r="349" spans="2:2" x14ac:dyDescent="0.35">
      <c r="B349" t="s">
        <v>640</v>
      </c>
    </row>
    <row r="350" spans="2:2" x14ac:dyDescent="0.35">
      <c r="B350" t="s">
        <v>295</v>
      </c>
    </row>
    <row r="351" spans="2:2" x14ac:dyDescent="0.35">
      <c r="B351" t="s">
        <v>297</v>
      </c>
    </row>
    <row r="352" spans="2:2" x14ac:dyDescent="0.35">
      <c r="B352" t="s">
        <v>299</v>
      </c>
    </row>
    <row r="353" spans="2:2" x14ac:dyDescent="0.35">
      <c r="B353" t="s">
        <v>301</v>
      </c>
    </row>
    <row r="354" spans="2:2" x14ac:dyDescent="0.35">
      <c r="B354" t="s">
        <v>641</v>
      </c>
    </row>
    <row r="355" spans="2:2" x14ac:dyDescent="0.35">
      <c r="B355" t="s">
        <v>303</v>
      </c>
    </row>
    <row r="356" spans="2:2" x14ac:dyDescent="0.35">
      <c r="B356" t="s">
        <v>305</v>
      </c>
    </row>
    <row r="357" spans="2:2" x14ac:dyDescent="0.35">
      <c r="B357" t="s">
        <v>642</v>
      </c>
    </row>
    <row r="358" spans="2:2" x14ac:dyDescent="0.35">
      <c r="B358" t="s">
        <v>307</v>
      </c>
    </row>
    <row r="359" spans="2:2" x14ac:dyDescent="0.35">
      <c r="B359" t="s">
        <v>309</v>
      </c>
    </row>
    <row r="360" spans="2:2" x14ac:dyDescent="0.35">
      <c r="B360" t="s">
        <v>311</v>
      </c>
    </row>
    <row r="361" spans="2:2" x14ac:dyDescent="0.35">
      <c r="B361" t="s">
        <v>313</v>
      </c>
    </row>
    <row r="362" spans="2:2" x14ac:dyDescent="0.35">
      <c r="B362" t="s">
        <v>315</v>
      </c>
    </row>
    <row r="363" spans="2:2" x14ac:dyDescent="0.35">
      <c r="B363" t="s">
        <v>643</v>
      </c>
    </row>
    <row r="364" spans="2:2" x14ac:dyDescent="0.35">
      <c r="B364" t="s">
        <v>317</v>
      </c>
    </row>
    <row r="365" spans="2:2" x14ac:dyDescent="0.35">
      <c r="B365" t="s">
        <v>319</v>
      </c>
    </row>
    <row r="366" spans="2:2" x14ac:dyDescent="0.35">
      <c r="B366" t="s">
        <v>321</v>
      </c>
    </row>
    <row r="367" spans="2:2" x14ac:dyDescent="0.35">
      <c r="B367" t="s">
        <v>323</v>
      </c>
    </row>
    <row r="368" spans="2:2" x14ac:dyDescent="0.35">
      <c r="B368" t="s">
        <v>325</v>
      </c>
    </row>
    <row r="369" spans="2:2" x14ac:dyDescent="0.35">
      <c r="B369" t="s">
        <v>327</v>
      </c>
    </row>
    <row r="370" spans="2:2" x14ac:dyDescent="0.35">
      <c r="B370" t="s">
        <v>329</v>
      </c>
    </row>
    <row r="371" spans="2:2" x14ac:dyDescent="0.35">
      <c r="B371" t="s">
        <v>331</v>
      </c>
    </row>
    <row r="372" spans="2:2" x14ac:dyDescent="0.35">
      <c r="B372" t="s">
        <v>644</v>
      </c>
    </row>
    <row r="373" spans="2:2" x14ac:dyDescent="0.35">
      <c r="B373" t="s">
        <v>333</v>
      </c>
    </row>
    <row r="374" spans="2:2" x14ac:dyDescent="0.35">
      <c r="B374" t="s">
        <v>645</v>
      </c>
    </row>
    <row r="375" spans="2:2" x14ac:dyDescent="0.35">
      <c r="B375" t="s">
        <v>646</v>
      </c>
    </row>
    <row r="376" spans="2:2" x14ac:dyDescent="0.35">
      <c r="B376" t="s">
        <v>647</v>
      </c>
    </row>
    <row r="377" spans="2:2" x14ac:dyDescent="0.35">
      <c r="B377" t="s">
        <v>648</v>
      </c>
    </row>
    <row r="378" spans="2:2" x14ac:dyDescent="0.35">
      <c r="B378" t="s">
        <v>335</v>
      </c>
    </row>
    <row r="379" spans="2:2" x14ac:dyDescent="0.35">
      <c r="B379" t="s">
        <v>337</v>
      </c>
    </row>
    <row r="380" spans="2:2" x14ac:dyDescent="0.35">
      <c r="B380" t="s">
        <v>339</v>
      </c>
    </row>
    <row r="381" spans="2:2" x14ac:dyDescent="0.35">
      <c r="B381" t="s">
        <v>649</v>
      </c>
    </row>
    <row r="382" spans="2:2" x14ac:dyDescent="0.35">
      <c r="B382" t="s">
        <v>341</v>
      </c>
    </row>
    <row r="383" spans="2:2" x14ac:dyDescent="0.35">
      <c r="B383" t="s">
        <v>343</v>
      </c>
    </row>
    <row r="384" spans="2:2" x14ac:dyDescent="0.35">
      <c r="B384" t="s">
        <v>345</v>
      </c>
    </row>
    <row r="385" spans="2:2" x14ac:dyDescent="0.35">
      <c r="B385" t="s">
        <v>347</v>
      </c>
    </row>
    <row r="386" spans="2:2" x14ac:dyDescent="0.35">
      <c r="B386" t="s">
        <v>650</v>
      </c>
    </row>
    <row r="387" spans="2:2" x14ac:dyDescent="0.35">
      <c r="B387" t="s">
        <v>349</v>
      </c>
    </row>
    <row r="388" spans="2:2" x14ac:dyDescent="0.35">
      <c r="B388" t="s">
        <v>651</v>
      </c>
    </row>
    <row r="389" spans="2:2" x14ac:dyDescent="0.35">
      <c r="B389" t="s">
        <v>351</v>
      </c>
    </row>
    <row r="390" spans="2:2" x14ac:dyDescent="0.35">
      <c r="B390" t="s">
        <v>353</v>
      </c>
    </row>
    <row r="391" spans="2:2" x14ac:dyDescent="0.35">
      <c r="B391" t="s">
        <v>652</v>
      </c>
    </row>
    <row r="392" spans="2:2" x14ac:dyDescent="0.35">
      <c r="B392" t="s">
        <v>653</v>
      </c>
    </row>
    <row r="393" spans="2:2" x14ac:dyDescent="0.35">
      <c r="B393" t="s">
        <v>654</v>
      </c>
    </row>
    <row r="394" spans="2:2" x14ac:dyDescent="0.35">
      <c r="B394" t="s">
        <v>655</v>
      </c>
    </row>
    <row r="395" spans="2:2" x14ac:dyDescent="0.35">
      <c r="B395" t="s">
        <v>656</v>
      </c>
    </row>
    <row r="396" spans="2:2" x14ac:dyDescent="0.35">
      <c r="B396" t="s">
        <v>657</v>
      </c>
    </row>
    <row r="397" spans="2:2" x14ac:dyDescent="0.35">
      <c r="B397" t="s">
        <v>658</v>
      </c>
    </row>
    <row r="398" spans="2:2" x14ac:dyDescent="0.35">
      <c r="B398" t="s">
        <v>659</v>
      </c>
    </row>
    <row r="399" spans="2:2" x14ac:dyDescent="0.35">
      <c r="B399" t="s">
        <v>660</v>
      </c>
    </row>
    <row r="400" spans="2:2" x14ac:dyDescent="0.35">
      <c r="B400" t="s">
        <v>661</v>
      </c>
    </row>
    <row r="401" spans="2:2" x14ac:dyDescent="0.35">
      <c r="B401" t="s">
        <v>662</v>
      </c>
    </row>
    <row r="402" spans="2:2" x14ac:dyDescent="0.35">
      <c r="B402" t="s">
        <v>663</v>
      </c>
    </row>
    <row r="403" spans="2:2" x14ac:dyDescent="0.35">
      <c r="B403" t="s">
        <v>664</v>
      </c>
    </row>
    <row r="404" spans="2:2" x14ac:dyDescent="0.35">
      <c r="B404" t="s">
        <v>665</v>
      </c>
    </row>
    <row r="405" spans="2:2" x14ac:dyDescent="0.35">
      <c r="B405" t="s">
        <v>666</v>
      </c>
    </row>
    <row r="406" spans="2:2" x14ac:dyDescent="0.35">
      <c r="B406" t="s">
        <v>667</v>
      </c>
    </row>
    <row r="407" spans="2:2" x14ac:dyDescent="0.35">
      <c r="B407" t="s">
        <v>355</v>
      </c>
    </row>
    <row r="408" spans="2:2" x14ac:dyDescent="0.35">
      <c r="B408" t="s">
        <v>357</v>
      </c>
    </row>
    <row r="409" spans="2:2" x14ac:dyDescent="0.35">
      <c r="B409" t="s">
        <v>359</v>
      </c>
    </row>
    <row r="410" spans="2:2" x14ac:dyDescent="0.35">
      <c r="B410" t="s">
        <v>361</v>
      </c>
    </row>
    <row r="411" spans="2:2" x14ac:dyDescent="0.35">
      <c r="B411" t="s">
        <v>363</v>
      </c>
    </row>
    <row r="412" spans="2:2" x14ac:dyDescent="0.35">
      <c r="B412" t="s">
        <v>365</v>
      </c>
    </row>
    <row r="413" spans="2:2" x14ac:dyDescent="0.35">
      <c r="B413" t="s">
        <v>367</v>
      </c>
    </row>
    <row r="414" spans="2:2" x14ac:dyDescent="0.35">
      <c r="B414" t="s">
        <v>369</v>
      </c>
    </row>
    <row r="415" spans="2:2" x14ac:dyDescent="0.35">
      <c r="B415" t="s">
        <v>371</v>
      </c>
    </row>
    <row r="416" spans="2:2" x14ac:dyDescent="0.35">
      <c r="B416" t="s">
        <v>373</v>
      </c>
    </row>
    <row r="417" spans="2:2" x14ac:dyDescent="0.35">
      <c r="B417" t="s">
        <v>375</v>
      </c>
    </row>
    <row r="418" spans="2:2" x14ac:dyDescent="0.35">
      <c r="B418" t="s">
        <v>377</v>
      </c>
    </row>
    <row r="419" spans="2:2" x14ac:dyDescent="0.35">
      <c r="B419" t="s">
        <v>379</v>
      </c>
    </row>
    <row r="420" spans="2:2" x14ac:dyDescent="0.35">
      <c r="B420" t="s">
        <v>381</v>
      </c>
    </row>
    <row r="421" spans="2:2" x14ac:dyDescent="0.35">
      <c r="B421" t="s">
        <v>383</v>
      </c>
    </row>
    <row r="422" spans="2:2" x14ac:dyDescent="0.35">
      <c r="B422" t="s">
        <v>385</v>
      </c>
    </row>
    <row r="423" spans="2:2" x14ac:dyDescent="0.35">
      <c r="B423" t="s">
        <v>387</v>
      </c>
    </row>
    <row r="424" spans="2:2" x14ac:dyDescent="0.35">
      <c r="B424" t="s">
        <v>389</v>
      </c>
    </row>
    <row r="425" spans="2:2" x14ac:dyDescent="0.35">
      <c r="B425" t="s">
        <v>391</v>
      </c>
    </row>
    <row r="426" spans="2:2" x14ac:dyDescent="0.35">
      <c r="B426" t="s">
        <v>668</v>
      </c>
    </row>
    <row r="427" spans="2:2" x14ac:dyDescent="0.35">
      <c r="B427" t="s">
        <v>669</v>
      </c>
    </row>
    <row r="428" spans="2:2" x14ac:dyDescent="0.35">
      <c r="B428" t="s">
        <v>670</v>
      </c>
    </row>
    <row r="429" spans="2:2" x14ac:dyDescent="0.35">
      <c r="B429" t="s">
        <v>671</v>
      </c>
    </row>
    <row r="430" spans="2:2" x14ac:dyDescent="0.35">
      <c r="B430" t="s">
        <v>672</v>
      </c>
    </row>
    <row r="431" spans="2:2" x14ac:dyDescent="0.35">
      <c r="B431" t="s">
        <v>673</v>
      </c>
    </row>
    <row r="432" spans="2:2" x14ac:dyDescent="0.35">
      <c r="B432" t="s">
        <v>674</v>
      </c>
    </row>
    <row r="433" spans="2:2" x14ac:dyDescent="0.35">
      <c r="B433" t="s">
        <v>675</v>
      </c>
    </row>
    <row r="434" spans="2:2" x14ac:dyDescent="0.35">
      <c r="B434" t="s">
        <v>676</v>
      </c>
    </row>
    <row r="435" spans="2:2" x14ac:dyDescent="0.35">
      <c r="B435" t="s">
        <v>677</v>
      </c>
    </row>
    <row r="436" spans="2:2" x14ac:dyDescent="0.35">
      <c r="B436" t="s">
        <v>678</v>
      </c>
    </row>
    <row r="437" spans="2:2" x14ac:dyDescent="0.35">
      <c r="B437" t="s">
        <v>679</v>
      </c>
    </row>
    <row r="438" spans="2:2" x14ac:dyDescent="0.35">
      <c r="B438" t="s">
        <v>680</v>
      </c>
    </row>
    <row r="439" spans="2:2" x14ac:dyDescent="0.35">
      <c r="B439" t="s">
        <v>681</v>
      </c>
    </row>
    <row r="440" spans="2:2" x14ac:dyDescent="0.35">
      <c r="B440" t="s">
        <v>682</v>
      </c>
    </row>
    <row r="441" spans="2:2" x14ac:dyDescent="0.35">
      <c r="B441" t="s">
        <v>683</v>
      </c>
    </row>
    <row r="442" spans="2:2" x14ac:dyDescent="0.35">
      <c r="B442" t="s">
        <v>684</v>
      </c>
    </row>
    <row r="443" spans="2:2" x14ac:dyDescent="0.35">
      <c r="B443" t="s">
        <v>685</v>
      </c>
    </row>
    <row r="444" spans="2:2" x14ac:dyDescent="0.35">
      <c r="B444" t="s">
        <v>686</v>
      </c>
    </row>
    <row r="445" spans="2:2" x14ac:dyDescent="0.35">
      <c r="B445" t="s">
        <v>687</v>
      </c>
    </row>
    <row r="446" spans="2:2" x14ac:dyDescent="0.35">
      <c r="B446" t="s">
        <v>688</v>
      </c>
    </row>
    <row r="447" spans="2:2" x14ac:dyDescent="0.35">
      <c r="B447" t="s">
        <v>689</v>
      </c>
    </row>
    <row r="448" spans="2:2" x14ac:dyDescent="0.35">
      <c r="B448" t="s">
        <v>690</v>
      </c>
    </row>
    <row r="449" spans="2:2" x14ac:dyDescent="0.35">
      <c r="B449" t="s">
        <v>691</v>
      </c>
    </row>
    <row r="450" spans="2:2" x14ac:dyDescent="0.35">
      <c r="B450" t="s">
        <v>393</v>
      </c>
    </row>
    <row r="451" spans="2:2" x14ac:dyDescent="0.35">
      <c r="B451" t="s">
        <v>692</v>
      </c>
    </row>
    <row r="452" spans="2:2" x14ac:dyDescent="0.35">
      <c r="B452" t="s">
        <v>395</v>
      </c>
    </row>
    <row r="453" spans="2:2" x14ac:dyDescent="0.35">
      <c r="B453" t="s">
        <v>693</v>
      </c>
    </row>
    <row r="454" spans="2:2" x14ac:dyDescent="0.35">
      <c r="B454" t="s">
        <v>694</v>
      </c>
    </row>
    <row r="455" spans="2:2" x14ac:dyDescent="0.35">
      <c r="B455" t="s">
        <v>695</v>
      </c>
    </row>
    <row r="456" spans="2:2" x14ac:dyDescent="0.35">
      <c r="B456" t="s">
        <v>696</v>
      </c>
    </row>
    <row r="457" spans="2:2" x14ac:dyDescent="0.35">
      <c r="B457" t="s">
        <v>397</v>
      </c>
    </row>
    <row r="458" spans="2:2" x14ac:dyDescent="0.35">
      <c r="B458" t="s">
        <v>697</v>
      </c>
    </row>
    <row r="459" spans="2:2" x14ac:dyDescent="0.35">
      <c r="B459" t="s">
        <v>698</v>
      </c>
    </row>
    <row r="460" spans="2:2" x14ac:dyDescent="0.35">
      <c r="B460" t="s">
        <v>699</v>
      </c>
    </row>
    <row r="461" spans="2:2" x14ac:dyDescent="0.35">
      <c r="B461" t="s">
        <v>399</v>
      </c>
    </row>
    <row r="462" spans="2:2" x14ac:dyDescent="0.35">
      <c r="B462" t="s">
        <v>700</v>
      </c>
    </row>
    <row r="463" spans="2:2" x14ac:dyDescent="0.35">
      <c r="B463" t="s">
        <v>401</v>
      </c>
    </row>
    <row r="464" spans="2:2" x14ac:dyDescent="0.35">
      <c r="B464" t="s">
        <v>701</v>
      </c>
    </row>
    <row r="465" spans="2:2" x14ac:dyDescent="0.35">
      <c r="B465" t="s">
        <v>702</v>
      </c>
    </row>
    <row r="466" spans="2:2" x14ac:dyDescent="0.35">
      <c r="B466" t="s">
        <v>703</v>
      </c>
    </row>
    <row r="467" spans="2:2" x14ac:dyDescent="0.35">
      <c r="B467" t="s">
        <v>704</v>
      </c>
    </row>
    <row r="468" spans="2:2" x14ac:dyDescent="0.35">
      <c r="B468" t="s">
        <v>705</v>
      </c>
    </row>
    <row r="469" spans="2:2" x14ac:dyDescent="0.35">
      <c r="B469" t="s">
        <v>706</v>
      </c>
    </row>
    <row r="470" spans="2:2" x14ac:dyDescent="0.35">
      <c r="B470" t="s">
        <v>707</v>
      </c>
    </row>
    <row r="471" spans="2:2" x14ac:dyDescent="0.35">
      <c r="B471" t="s">
        <v>708</v>
      </c>
    </row>
    <row r="472" spans="2:2" x14ac:dyDescent="0.35">
      <c r="B472" t="s">
        <v>709</v>
      </c>
    </row>
    <row r="473" spans="2:2" x14ac:dyDescent="0.35">
      <c r="B473" t="s">
        <v>710</v>
      </c>
    </row>
    <row r="474" spans="2:2" x14ac:dyDescent="0.35">
      <c r="B474" t="s">
        <v>711</v>
      </c>
    </row>
    <row r="475" spans="2:2" x14ac:dyDescent="0.35">
      <c r="B475" t="s">
        <v>712</v>
      </c>
    </row>
    <row r="476" spans="2:2" x14ac:dyDescent="0.35">
      <c r="B476" t="s">
        <v>713</v>
      </c>
    </row>
    <row r="477" spans="2:2" x14ac:dyDescent="0.35">
      <c r="B477" t="s">
        <v>714</v>
      </c>
    </row>
    <row r="478" spans="2:2" x14ac:dyDescent="0.35">
      <c r="B478" t="s">
        <v>403</v>
      </c>
    </row>
    <row r="479" spans="2:2" x14ac:dyDescent="0.35">
      <c r="B479" t="s">
        <v>715</v>
      </c>
    </row>
    <row r="480" spans="2:2" x14ac:dyDescent="0.35">
      <c r="B480" t="s">
        <v>716</v>
      </c>
    </row>
    <row r="481" spans="2:2" x14ac:dyDescent="0.35">
      <c r="B481" t="s">
        <v>717</v>
      </c>
    </row>
    <row r="482" spans="2:2" x14ac:dyDescent="0.35">
      <c r="B482" t="s">
        <v>405</v>
      </c>
    </row>
    <row r="483" spans="2:2" x14ac:dyDescent="0.35">
      <c r="B483" t="s">
        <v>718</v>
      </c>
    </row>
    <row r="484" spans="2:2" x14ac:dyDescent="0.35">
      <c r="B484" t="s">
        <v>407</v>
      </c>
    </row>
    <row r="485" spans="2:2" x14ac:dyDescent="0.35">
      <c r="B485" t="s">
        <v>719</v>
      </c>
    </row>
    <row r="486" spans="2:2" x14ac:dyDescent="0.35">
      <c r="B486" t="s">
        <v>720</v>
      </c>
    </row>
    <row r="487" spans="2:2" x14ac:dyDescent="0.35">
      <c r="B487" t="s">
        <v>721</v>
      </c>
    </row>
    <row r="488" spans="2:2" x14ac:dyDescent="0.35">
      <c r="B488" t="s">
        <v>722</v>
      </c>
    </row>
    <row r="489" spans="2:2" x14ac:dyDescent="0.35">
      <c r="B489" t="s">
        <v>723</v>
      </c>
    </row>
    <row r="490" spans="2:2" x14ac:dyDescent="0.35">
      <c r="B490" t="s">
        <v>724</v>
      </c>
    </row>
    <row r="491" spans="2:2" x14ac:dyDescent="0.35">
      <c r="B491" t="s">
        <v>725</v>
      </c>
    </row>
    <row r="492" spans="2:2" x14ac:dyDescent="0.35">
      <c r="B492" t="s">
        <v>726</v>
      </c>
    </row>
    <row r="493" spans="2:2" x14ac:dyDescent="0.35">
      <c r="B493" t="s">
        <v>727</v>
      </c>
    </row>
    <row r="494" spans="2:2" x14ac:dyDescent="0.35">
      <c r="B494" t="s">
        <v>728</v>
      </c>
    </row>
    <row r="495" spans="2:2" x14ac:dyDescent="0.35">
      <c r="B495" t="s">
        <v>729</v>
      </c>
    </row>
    <row r="496" spans="2:2" x14ac:dyDescent="0.35">
      <c r="B496" t="s">
        <v>730</v>
      </c>
    </row>
    <row r="497" spans="2:2" x14ac:dyDescent="0.35">
      <c r="B497" t="s">
        <v>731</v>
      </c>
    </row>
    <row r="498" spans="2:2" x14ac:dyDescent="0.35">
      <c r="B498" t="s">
        <v>732</v>
      </c>
    </row>
    <row r="499" spans="2:2" x14ac:dyDescent="0.35">
      <c r="B499" t="s">
        <v>733</v>
      </c>
    </row>
    <row r="500" spans="2:2" x14ac:dyDescent="0.35">
      <c r="B500" t="s">
        <v>734</v>
      </c>
    </row>
    <row r="501" spans="2:2" x14ac:dyDescent="0.35">
      <c r="B501" t="s">
        <v>408</v>
      </c>
    </row>
    <row r="502" spans="2:2" x14ac:dyDescent="0.35">
      <c r="B502" t="s">
        <v>735</v>
      </c>
    </row>
    <row r="503" spans="2:2" x14ac:dyDescent="0.35">
      <c r="B503" t="s">
        <v>410</v>
      </c>
    </row>
    <row r="504" spans="2:2" x14ac:dyDescent="0.35">
      <c r="B504" t="s">
        <v>412</v>
      </c>
    </row>
    <row r="505" spans="2:2" x14ac:dyDescent="0.35">
      <c r="B505" t="s">
        <v>736</v>
      </c>
    </row>
    <row r="506" spans="2:2" x14ac:dyDescent="0.35">
      <c r="B506" t="s">
        <v>414</v>
      </c>
    </row>
    <row r="507" spans="2:2" x14ac:dyDescent="0.35">
      <c r="B507" t="s">
        <v>737</v>
      </c>
    </row>
    <row r="508" spans="2:2" x14ac:dyDescent="0.35">
      <c r="B508" t="s">
        <v>738</v>
      </c>
    </row>
    <row r="509" spans="2:2" x14ac:dyDescent="0.35">
      <c r="B509" t="s">
        <v>416</v>
      </c>
    </row>
    <row r="510" spans="2:2" x14ac:dyDescent="0.35">
      <c r="B510" t="s">
        <v>418</v>
      </c>
    </row>
    <row r="511" spans="2:2" x14ac:dyDescent="0.35">
      <c r="B511" t="s">
        <v>420</v>
      </c>
    </row>
    <row r="512" spans="2:2" x14ac:dyDescent="0.35">
      <c r="B512" t="s">
        <v>422</v>
      </c>
    </row>
    <row r="513" spans="2:2" x14ac:dyDescent="0.35">
      <c r="B513" t="s">
        <v>424</v>
      </c>
    </row>
    <row r="514" spans="2:2" x14ac:dyDescent="0.35">
      <c r="B514" t="s">
        <v>426</v>
      </c>
    </row>
    <row r="515" spans="2:2" x14ac:dyDescent="0.35">
      <c r="B515" t="s">
        <v>739</v>
      </c>
    </row>
    <row r="516" spans="2:2" x14ac:dyDescent="0.35">
      <c r="B516" t="s">
        <v>740</v>
      </c>
    </row>
    <row r="517" spans="2:2" x14ac:dyDescent="0.35">
      <c r="B517" t="s">
        <v>428</v>
      </c>
    </row>
    <row r="518" spans="2:2" x14ac:dyDescent="0.35">
      <c r="B518" t="s">
        <v>430</v>
      </c>
    </row>
    <row r="519" spans="2:2" x14ac:dyDescent="0.35">
      <c r="B519" t="s">
        <v>741</v>
      </c>
    </row>
    <row r="520" spans="2:2" x14ac:dyDescent="0.35">
      <c r="B520" t="s">
        <v>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11F7-E51C-421A-A3AC-B15D58D0F6D2}">
  <dimension ref="A1:Y209"/>
  <sheetViews>
    <sheetView tabSelected="1" topLeftCell="L1" zoomScale="91" zoomScaleNormal="91" workbookViewId="0">
      <selection activeCell="Y1" sqref="Y1"/>
    </sheetView>
  </sheetViews>
  <sheetFormatPr defaultRowHeight="14.5" x14ac:dyDescent="0.35"/>
  <cols>
    <col min="14" max="15" width="15" style="20" customWidth="1"/>
    <col min="16" max="19" width="12.7265625" style="23" customWidth="1"/>
    <col min="20" max="20" width="12.7265625" style="37" customWidth="1"/>
    <col min="21" max="23" width="12.7265625" style="20" customWidth="1"/>
    <col min="24" max="24" width="11.26953125" style="34" bestFit="1" customWidth="1"/>
    <col min="25" max="25" width="18" style="34" customWidth="1"/>
  </cols>
  <sheetData>
    <row r="1" spans="1:25" s="17" customFormat="1" ht="43.5" x14ac:dyDescent="0.35">
      <c r="A1" s="17" t="s">
        <v>776</v>
      </c>
      <c r="B1" s="17" t="s">
        <v>752</v>
      </c>
      <c r="C1" s="17" t="s">
        <v>753</v>
      </c>
      <c r="D1" s="17" t="s">
        <v>754</v>
      </c>
      <c r="E1" s="17" t="s">
        <v>755</v>
      </c>
      <c r="F1" s="17" t="s">
        <v>756</v>
      </c>
      <c r="G1" s="17" t="s">
        <v>757</v>
      </c>
      <c r="H1" s="17" t="s">
        <v>758</v>
      </c>
      <c r="I1" s="17" t="s">
        <v>759</v>
      </c>
      <c r="J1" s="17" t="s">
        <v>760</v>
      </c>
      <c r="K1" s="17" t="s">
        <v>761</v>
      </c>
      <c r="L1" s="17" t="s">
        <v>762</v>
      </c>
      <c r="M1" s="17" t="s">
        <v>763</v>
      </c>
      <c r="N1" s="18" t="s">
        <v>771</v>
      </c>
      <c r="O1" s="18" t="s">
        <v>806</v>
      </c>
      <c r="P1" s="21" t="s">
        <v>764</v>
      </c>
      <c r="Q1" s="21" t="s">
        <v>765</v>
      </c>
      <c r="R1" s="21" t="s">
        <v>766</v>
      </c>
      <c r="S1" s="21" t="s">
        <v>767</v>
      </c>
      <c r="T1" s="36" t="s">
        <v>805</v>
      </c>
      <c r="U1" s="18" t="s">
        <v>769</v>
      </c>
      <c r="V1" s="18" t="s">
        <v>770</v>
      </c>
      <c r="W1" s="18" t="s">
        <v>768</v>
      </c>
      <c r="X1" s="38" t="s">
        <v>803</v>
      </c>
      <c r="Y1" s="39" t="s">
        <v>804</v>
      </c>
    </row>
    <row r="2" spans="1:25" x14ac:dyDescent="0.35">
      <c r="A2" t="str">
        <f>LEFT(C2,2) &amp; LEFT(MID(C2,3,LEN(C2)-2),2)</f>
        <v>CD10</v>
      </c>
      <c r="B2" t="s">
        <v>16</v>
      </c>
      <c r="C2" t="s">
        <v>17</v>
      </c>
      <c r="E2">
        <v>1</v>
      </c>
      <c r="F2">
        <v>791685.30200741068</v>
      </c>
      <c r="G2">
        <v>271648.81853607012</v>
      </c>
      <c r="H2">
        <v>0</v>
      </c>
      <c r="I2">
        <v>0</v>
      </c>
      <c r="J2">
        <v>0</v>
      </c>
      <c r="K2">
        <v>0</v>
      </c>
      <c r="L2">
        <v>791685.30200741068</v>
      </c>
      <c r="M2">
        <f>0.037+0.12+0.18</f>
        <v>0.33699999999999997</v>
      </c>
      <c r="N2" s="19">
        <f>SUM(P2:S2)</f>
        <v>266797.94677649735</v>
      </c>
      <c r="O2" s="19">
        <f t="shared" ref="O2:O65" si="0">F2*M2</f>
        <v>266797.94677649735</v>
      </c>
      <c r="P2" s="22">
        <f t="shared" ref="P2:P65" si="1">H2*M2</f>
        <v>0</v>
      </c>
      <c r="Q2" s="23">
        <f t="shared" ref="Q2:Q65" si="2">I2*M2</f>
        <v>0</v>
      </c>
      <c r="R2" s="23">
        <f t="shared" ref="R2:R65" si="3">J2*M2</f>
        <v>0</v>
      </c>
      <c r="S2" s="23">
        <f t="shared" ref="S2:S65" si="4">L2*M2</f>
        <v>266797.94677649735</v>
      </c>
      <c r="T2" s="37">
        <f t="shared" ref="T2:T65" si="5">K2*M2</f>
        <v>0</v>
      </c>
      <c r="U2" s="20">
        <f t="shared" ref="U2:U65" si="6">N2*0.48</f>
        <v>128063.01445271872</v>
      </c>
      <c r="V2" s="20">
        <f t="shared" ref="V2:V65" si="7">N2*0.52</f>
        <v>138734.93232377863</v>
      </c>
      <c r="W2" s="20">
        <f t="shared" ref="W2:W65" si="8">(F2-K2)*0.037</f>
        <v>29292.356174274195</v>
      </c>
      <c r="X2" s="35">
        <f t="shared" ref="X2:X65" si="9">(F2-K2)*0.18</f>
        <v>142503.35436133391</v>
      </c>
      <c r="Y2" s="35">
        <f t="shared" ref="Y2:Y65" si="10">(F2-K2)*0.12</f>
        <v>95002.23624088928</v>
      </c>
    </row>
    <row r="3" spans="1:25" x14ac:dyDescent="0.35">
      <c r="A3" t="str">
        <f t="shared" ref="A3:A66" si="11">LEFT(C3,2) &amp; LEFT(MID(C3,3,LEN(C3)-2),2)</f>
        <v>CD10</v>
      </c>
      <c r="B3" t="s">
        <v>18</v>
      </c>
      <c r="C3" t="s">
        <v>19</v>
      </c>
      <c r="E3">
        <v>1</v>
      </c>
      <c r="F3">
        <v>443581.66456288937</v>
      </c>
      <c r="G3">
        <v>152204.96679328816</v>
      </c>
      <c r="H3">
        <v>0</v>
      </c>
      <c r="I3">
        <v>0</v>
      </c>
      <c r="J3">
        <v>0</v>
      </c>
      <c r="K3">
        <v>0</v>
      </c>
      <c r="L3">
        <v>443581.66456288937</v>
      </c>
      <c r="M3">
        <f t="shared" ref="M3:M66" si="12">0.037+0.12+0.18</f>
        <v>0.33699999999999997</v>
      </c>
      <c r="N3" s="19">
        <f t="shared" ref="N3:N66" si="13">SUM(P3:S3)</f>
        <v>149487.02095769369</v>
      </c>
      <c r="O3" s="19">
        <f t="shared" si="0"/>
        <v>149487.02095769369</v>
      </c>
      <c r="P3" s="22">
        <f t="shared" si="1"/>
        <v>0</v>
      </c>
      <c r="Q3" s="23">
        <f t="shared" si="2"/>
        <v>0</v>
      </c>
      <c r="R3" s="23">
        <f t="shared" si="3"/>
        <v>0</v>
      </c>
      <c r="S3" s="23">
        <f t="shared" si="4"/>
        <v>149487.02095769369</v>
      </c>
      <c r="T3" s="37">
        <f t="shared" si="5"/>
        <v>0</v>
      </c>
      <c r="U3" s="20">
        <f t="shared" si="6"/>
        <v>71753.770059692964</v>
      </c>
      <c r="V3" s="20">
        <f t="shared" si="7"/>
        <v>77733.250898000726</v>
      </c>
      <c r="W3" s="20">
        <f t="shared" si="8"/>
        <v>16412.521588826905</v>
      </c>
      <c r="X3" s="35">
        <f t="shared" si="9"/>
        <v>79844.699621320091</v>
      </c>
      <c r="Y3" s="35">
        <f t="shared" si="10"/>
        <v>53229.79974754672</v>
      </c>
    </row>
    <row r="4" spans="1:25" x14ac:dyDescent="0.35">
      <c r="A4" t="str">
        <f t="shared" si="11"/>
        <v>CD10</v>
      </c>
      <c r="B4" t="s">
        <v>20</v>
      </c>
      <c r="C4" t="s">
        <v>21</v>
      </c>
      <c r="E4">
        <v>1</v>
      </c>
      <c r="F4">
        <v>916177.11616922519</v>
      </c>
      <c r="G4">
        <v>314365.35520628392</v>
      </c>
      <c r="H4">
        <v>0</v>
      </c>
      <c r="I4">
        <v>0</v>
      </c>
      <c r="J4">
        <v>0</v>
      </c>
      <c r="K4">
        <v>0</v>
      </c>
      <c r="L4">
        <v>916177.11616922519</v>
      </c>
      <c r="M4">
        <f t="shared" si="12"/>
        <v>0.33699999999999997</v>
      </c>
      <c r="N4" s="19">
        <f t="shared" si="13"/>
        <v>308751.68814902887</v>
      </c>
      <c r="O4" s="19">
        <f t="shared" si="0"/>
        <v>308751.68814902887</v>
      </c>
      <c r="P4" s="22">
        <f t="shared" si="1"/>
        <v>0</v>
      </c>
      <c r="Q4" s="23">
        <f t="shared" si="2"/>
        <v>0</v>
      </c>
      <c r="R4" s="23">
        <f t="shared" si="3"/>
        <v>0</v>
      </c>
      <c r="S4" s="23">
        <f t="shared" si="4"/>
        <v>308751.68814902887</v>
      </c>
      <c r="T4" s="37">
        <f t="shared" si="5"/>
        <v>0</v>
      </c>
      <c r="U4" s="20">
        <f t="shared" si="6"/>
        <v>148200.81031153386</v>
      </c>
      <c r="V4" s="20">
        <f t="shared" si="7"/>
        <v>160550.87783749501</v>
      </c>
      <c r="W4" s="20">
        <f t="shared" si="8"/>
        <v>33898.553298261329</v>
      </c>
      <c r="X4" s="35">
        <f t="shared" si="9"/>
        <v>164911.88091046052</v>
      </c>
      <c r="Y4" s="35">
        <f t="shared" si="10"/>
        <v>109941.25394030703</v>
      </c>
    </row>
    <row r="5" spans="1:25" x14ac:dyDescent="0.35">
      <c r="A5" t="str">
        <f t="shared" si="11"/>
        <v>CD10</v>
      </c>
      <c r="B5" t="s">
        <v>22</v>
      </c>
      <c r="C5" t="s">
        <v>23</v>
      </c>
      <c r="E5">
        <v>1</v>
      </c>
      <c r="F5">
        <v>397150.64326723403</v>
      </c>
      <c r="G5">
        <v>136273.21708616801</v>
      </c>
      <c r="H5">
        <v>0</v>
      </c>
      <c r="I5">
        <v>0</v>
      </c>
      <c r="J5">
        <v>0</v>
      </c>
      <c r="K5">
        <v>0</v>
      </c>
      <c r="L5">
        <v>397150.64326723403</v>
      </c>
      <c r="M5">
        <f t="shared" si="12"/>
        <v>0.33699999999999997</v>
      </c>
      <c r="N5" s="19">
        <f t="shared" si="13"/>
        <v>133839.76678105784</v>
      </c>
      <c r="O5" s="19">
        <f t="shared" si="0"/>
        <v>133839.76678105784</v>
      </c>
      <c r="P5" s="22">
        <f t="shared" si="1"/>
        <v>0</v>
      </c>
      <c r="Q5" s="23">
        <f t="shared" si="2"/>
        <v>0</v>
      </c>
      <c r="R5" s="23">
        <f t="shared" si="3"/>
        <v>0</v>
      </c>
      <c r="S5" s="23">
        <f t="shared" si="4"/>
        <v>133839.76678105784</v>
      </c>
      <c r="T5" s="37">
        <f t="shared" si="5"/>
        <v>0</v>
      </c>
      <c r="U5" s="20">
        <f t="shared" si="6"/>
        <v>64243.088054907763</v>
      </c>
      <c r="V5" s="20">
        <f t="shared" si="7"/>
        <v>69596.678726150087</v>
      </c>
      <c r="W5" s="20">
        <f t="shared" si="8"/>
        <v>14694.573800887658</v>
      </c>
      <c r="X5" s="35">
        <f t="shared" si="9"/>
        <v>71487.115788102121</v>
      </c>
      <c r="Y5" s="35">
        <f t="shared" si="10"/>
        <v>47658.077192068085</v>
      </c>
    </row>
    <row r="6" spans="1:25" s="34" customFormat="1" x14ac:dyDescent="0.35">
      <c r="A6" s="34" t="str">
        <f t="shared" si="11"/>
        <v>CD10</v>
      </c>
      <c r="B6" s="34" t="s">
        <v>24</v>
      </c>
      <c r="C6" s="34" t="s">
        <v>25</v>
      </c>
      <c r="E6" s="34">
        <v>1</v>
      </c>
      <c r="F6" s="34">
        <v>380524.53959851788</v>
      </c>
      <c r="G6" s="34">
        <v>130568.34747824054</v>
      </c>
      <c r="H6" s="34">
        <v>0</v>
      </c>
      <c r="I6" s="34">
        <v>785</v>
      </c>
      <c r="J6" s="34">
        <v>27879</v>
      </c>
      <c r="K6" s="34">
        <v>157</v>
      </c>
      <c r="L6" s="34">
        <v>351703.53959851788</v>
      </c>
      <c r="M6" s="34">
        <f t="shared" si="12"/>
        <v>0.33699999999999997</v>
      </c>
      <c r="N6" s="19">
        <f t="shared" si="13"/>
        <v>128183.86084470051</v>
      </c>
      <c r="O6" s="19">
        <f t="shared" si="0"/>
        <v>128236.76984470051</v>
      </c>
      <c r="P6" s="22">
        <f t="shared" si="1"/>
        <v>0</v>
      </c>
      <c r="Q6" s="23">
        <f t="shared" si="2"/>
        <v>264.54499999999996</v>
      </c>
      <c r="R6" s="23">
        <f t="shared" si="3"/>
        <v>9395.223</v>
      </c>
      <c r="S6" s="23">
        <f t="shared" si="4"/>
        <v>118524.09284470051</v>
      </c>
      <c r="T6" s="37">
        <f t="shared" si="5"/>
        <v>52.908999999999992</v>
      </c>
      <c r="U6" s="20">
        <f t="shared" si="6"/>
        <v>61528.25320545624</v>
      </c>
      <c r="V6" s="20">
        <f t="shared" si="7"/>
        <v>66655.607639244263</v>
      </c>
      <c r="W6" s="20">
        <f t="shared" si="8"/>
        <v>14073.59896514516</v>
      </c>
      <c r="X6" s="35">
        <f t="shared" si="9"/>
        <v>68466.157127733211</v>
      </c>
      <c r="Y6" s="35">
        <f t="shared" si="10"/>
        <v>45644.104751822146</v>
      </c>
    </row>
    <row r="7" spans="1:25" x14ac:dyDescent="0.35">
      <c r="A7" t="str">
        <f t="shared" si="11"/>
        <v>CD10</v>
      </c>
      <c r="B7" t="s">
        <v>26</v>
      </c>
      <c r="C7" t="s">
        <v>27</v>
      </c>
      <c r="E7">
        <v>1</v>
      </c>
      <c r="F7">
        <v>139300.7897715705</v>
      </c>
      <c r="G7">
        <v>47797.900083074157</v>
      </c>
      <c r="H7">
        <v>0</v>
      </c>
      <c r="I7">
        <v>36</v>
      </c>
      <c r="J7">
        <v>4814</v>
      </c>
      <c r="K7">
        <v>7</v>
      </c>
      <c r="L7">
        <v>134443.7897715705</v>
      </c>
      <c r="M7">
        <f t="shared" si="12"/>
        <v>0.33699999999999997</v>
      </c>
      <c r="N7" s="19">
        <f t="shared" si="13"/>
        <v>46942.007153019251</v>
      </c>
      <c r="O7" s="19">
        <f t="shared" si="0"/>
        <v>46944.366153019255</v>
      </c>
      <c r="P7" s="22">
        <f t="shared" si="1"/>
        <v>0</v>
      </c>
      <c r="Q7" s="23">
        <f t="shared" si="2"/>
        <v>12.131999999999998</v>
      </c>
      <c r="R7" s="23">
        <f t="shared" si="3"/>
        <v>1622.3179999999998</v>
      </c>
      <c r="S7" s="23">
        <f t="shared" si="4"/>
        <v>45307.557153019254</v>
      </c>
      <c r="T7" s="37">
        <f t="shared" si="5"/>
        <v>2.359</v>
      </c>
      <c r="U7" s="20">
        <f t="shared" si="6"/>
        <v>22532.163433449241</v>
      </c>
      <c r="V7" s="20">
        <f t="shared" si="7"/>
        <v>24409.84371957001</v>
      </c>
      <c r="W7" s="20">
        <f t="shared" si="8"/>
        <v>5153.870221548108</v>
      </c>
      <c r="X7" s="35">
        <f t="shared" si="9"/>
        <v>25072.88215888269</v>
      </c>
      <c r="Y7" s="35">
        <f t="shared" si="10"/>
        <v>16715.254772588461</v>
      </c>
    </row>
    <row r="8" spans="1:25" x14ac:dyDescent="0.35">
      <c r="A8" t="str">
        <f t="shared" si="11"/>
        <v>CD10</v>
      </c>
      <c r="B8" t="s">
        <v>28</v>
      </c>
      <c r="C8" t="s">
        <v>29</v>
      </c>
      <c r="E8">
        <v>1</v>
      </c>
      <c r="F8">
        <v>706768.5591432876</v>
      </c>
      <c r="G8">
        <v>242511.56814822045</v>
      </c>
      <c r="H8">
        <v>0</v>
      </c>
      <c r="I8">
        <v>0</v>
      </c>
      <c r="J8">
        <v>0</v>
      </c>
      <c r="K8">
        <v>0</v>
      </c>
      <c r="L8">
        <v>706768.5591432876</v>
      </c>
      <c r="M8">
        <f t="shared" si="12"/>
        <v>0.33699999999999997</v>
      </c>
      <c r="N8" s="19">
        <f t="shared" si="13"/>
        <v>238181.0044312879</v>
      </c>
      <c r="O8" s="19">
        <f t="shared" si="0"/>
        <v>238181.0044312879</v>
      </c>
      <c r="P8" s="22">
        <f t="shared" si="1"/>
        <v>0</v>
      </c>
      <c r="Q8" s="23">
        <f t="shared" si="2"/>
        <v>0</v>
      </c>
      <c r="R8" s="23">
        <f t="shared" si="3"/>
        <v>0</v>
      </c>
      <c r="S8" s="23">
        <f t="shared" si="4"/>
        <v>238181.0044312879</v>
      </c>
      <c r="T8" s="37">
        <f t="shared" si="5"/>
        <v>0</v>
      </c>
      <c r="U8" s="20">
        <f t="shared" si="6"/>
        <v>114326.88212701819</v>
      </c>
      <c r="V8" s="20">
        <f t="shared" si="7"/>
        <v>123854.12230426971</v>
      </c>
      <c r="W8" s="20">
        <f t="shared" si="8"/>
        <v>26150.436688301641</v>
      </c>
      <c r="X8" s="35">
        <f t="shared" si="9"/>
        <v>127218.34064579176</v>
      </c>
      <c r="Y8" s="35">
        <f t="shared" si="10"/>
        <v>84812.227097194511</v>
      </c>
    </row>
    <row r="9" spans="1:25" x14ac:dyDescent="0.35">
      <c r="A9" t="str">
        <f t="shared" si="11"/>
        <v>CD10</v>
      </c>
      <c r="B9" t="s">
        <v>30</v>
      </c>
      <c r="C9" t="s">
        <v>31</v>
      </c>
      <c r="E9">
        <v>1</v>
      </c>
      <c r="F9">
        <v>610072.93261126266</v>
      </c>
      <c r="G9">
        <v>209332.66153163178</v>
      </c>
      <c r="H9">
        <v>0</v>
      </c>
      <c r="I9">
        <v>0</v>
      </c>
      <c r="J9">
        <v>0</v>
      </c>
      <c r="K9">
        <v>0</v>
      </c>
      <c r="L9">
        <v>610072.93261126266</v>
      </c>
      <c r="M9">
        <f t="shared" si="12"/>
        <v>0.33699999999999997</v>
      </c>
      <c r="N9" s="19">
        <f t="shared" si="13"/>
        <v>205594.57828999549</v>
      </c>
      <c r="O9" s="19">
        <f t="shared" si="0"/>
        <v>205594.57828999549</v>
      </c>
      <c r="P9" s="22">
        <f t="shared" si="1"/>
        <v>0</v>
      </c>
      <c r="Q9" s="23">
        <f t="shared" si="2"/>
        <v>0</v>
      </c>
      <c r="R9" s="23">
        <f t="shared" si="3"/>
        <v>0</v>
      </c>
      <c r="S9" s="23">
        <f t="shared" si="4"/>
        <v>205594.57828999549</v>
      </c>
      <c r="T9" s="37">
        <f t="shared" si="5"/>
        <v>0</v>
      </c>
      <c r="U9" s="20">
        <f t="shared" si="6"/>
        <v>98685.39757919783</v>
      </c>
      <c r="V9" s="20">
        <f t="shared" si="7"/>
        <v>106909.18071079766</v>
      </c>
      <c r="W9" s="20">
        <f t="shared" si="8"/>
        <v>22572.698506616718</v>
      </c>
      <c r="X9" s="35">
        <f t="shared" si="9"/>
        <v>109813.12787002728</v>
      </c>
      <c r="Y9" s="35">
        <f t="shared" si="10"/>
        <v>73208.751913351516</v>
      </c>
    </row>
    <row r="10" spans="1:25" x14ac:dyDescent="0.35">
      <c r="A10" t="str">
        <f t="shared" si="11"/>
        <v>CD10</v>
      </c>
      <c r="B10" t="s">
        <v>32</v>
      </c>
      <c r="C10" t="s">
        <v>33</v>
      </c>
      <c r="E10">
        <v>1</v>
      </c>
      <c r="F10">
        <v>522085.92320534226</v>
      </c>
      <c r="G10">
        <v>179141.91895874945</v>
      </c>
      <c r="H10">
        <v>0</v>
      </c>
      <c r="I10">
        <v>0</v>
      </c>
      <c r="J10">
        <v>0</v>
      </c>
      <c r="K10">
        <v>0</v>
      </c>
      <c r="L10">
        <v>522085.92320534226</v>
      </c>
      <c r="M10">
        <f t="shared" si="12"/>
        <v>0.33699999999999997</v>
      </c>
      <c r="N10" s="19">
        <f t="shared" si="13"/>
        <v>175942.95612020031</v>
      </c>
      <c r="O10" s="19">
        <f t="shared" si="0"/>
        <v>175942.95612020031</v>
      </c>
      <c r="P10" s="22">
        <f t="shared" si="1"/>
        <v>0</v>
      </c>
      <c r="Q10" s="23">
        <f t="shared" si="2"/>
        <v>0</v>
      </c>
      <c r="R10" s="23">
        <f t="shared" si="3"/>
        <v>0</v>
      </c>
      <c r="S10" s="23">
        <f t="shared" si="4"/>
        <v>175942.95612020031</v>
      </c>
      <c r="T10" s="37">
        <f t="shared" si="5"/>
        <v>0</v>
      </c>
      <c r="U10" s="20">
        <f t="shared" si="6"/>
        <v>84452.618937696141</v>
      </c>
      <c r="V10" s="20">
        <f t="shared" si="7"/>
        <v>91490.337182504169</v>
      </c>
      <c r="W10" s="20">
        <f t="shared" si="8"/>
        <v>19317.179158597664</v>
      </c>
      <c r="X10" s="35">
        <f t="shared" si="9"/>
        <v>93975.466176961607</v>
      </c>
      <c r="Y10" s="35">
        <f t="shared" si="10"/>
        <v>62650.310784641071</v>
      </c>
    </row>
    <row r="11" spans="1:25" x14ac:dyDescent="0.35">
      <c r="A11" t="str">
        <f t="shared" si="11"/>
        <v>CD10</v>
      </c>
      <c r="B11" t="s">
        <v>34</v>
      </c>
      <c r="C11" t="s">
        <v>35</v>
      </c>
      <c r="E11">
        <v>1</v>
      </c>
      <c r="F11">
        <v>305852.31971985829</v>
      </c>
      <c r="G11">
        <v>104946.27232278483</v>
      </c>
      <c r="H11">
        <v>0</v>
      </c>
      <c r="I11">
        <v>0</v>
      </c>
      <c r="J11">
        <v>0</v>
      </c>
      <c r="K11">
        <v>0</v>
      </c>
      <c r="L11">
        <v>305852.31971985829</v>
      </c>
      <c r="M11">
        <f t="shared" si="12"/>
        <v>0.33699999999999997</v>
      </c>
      <c r="N11" s="19">
        <f t="shared" si="13"/>
        <v>103072.23174559223</v>
      </c>
      <c r="O11" s="19">
        <f t="shared" si="0"/>
        <v>103072.23174559223</v>
      </c>
      <c r="P11" s="22">
        <f t="shared" si="1"/>
        <v>0</v>
      </c>
      <c r="Q11" s="23">
        <f t="shared" si="2"/>
        <v>0</v>
      </c>
      <c r="R11" s="23">
        <f t="shared" si="3"/>
        <v>0</v>
      </c>
      <c r="S11" s="23">
        <f t="shared" si="4"/>
        <v>103072.23174559223</v>
      </c>
      <c r="T11" s="37">
        <f t="shared" si="5"/>
        <v>0</v>
      </c>
      <c r="U11" s="20">
        <f t="shared" si="6"/>
        <v>49474.671237884271</v>
      </c>
      <c r="V11" s="20">
        <f t="shared" si="7"/>
        <v>53597.56050770796</v>
      </c>
      <c r="W11" s="20">
        <f t="shared" si="8"/>
        <v>11316.535829634757</v>
      </c>
      <c r="X11" s="35">
        <f t="shared" si="9"/>
        <v>55053.417549574493</v>
      </c>
      <c r="Y11" s="35">
        <f t="shared" si="10"/>
        <v>36702.27836638299</v>
      </c>
    </row>
    <row r="12" spans="1:25" x14ac:dyDescent="0.35">
      <c r="A12" t="str">
        <f t="shared" si="11"/>
        <v>CD10</v>
      </c>
      <c r="B12" t="s">
        <v>36</v>
      </c>
      <c r="C12" t="s">
        <v>37</v>
      </c>
      <c r="E12">
        <v>1</v>
      </c>
      <c r="F12">
        <v>681280.86583329935</v>
      </c>
      <c r="G12">
        <v>233766.04545465502</v>
      </c>
      <c r="H12">
        <v>0</v>
      </c>
      <c r="I12">
        <v>0</v>
      </c>
      <c r="J12">
        <v>0</v>
      </c>
      <c r="K12">
        <v>0</v>
      </c>
      <c r="L12">
        <v>681280.86583329935</v>
      </c>
      <c r="M12">
        <f t="shared" si="12"/>
        <v>0.33699999999999997</v>
      </c>
      <c r="N12" s="19">
        <f t="shared" si="13"/>
        <v>229591.65178582186</v>
      </c>
      <c r="O12" s="19">
        <f t="shared" si="0"/>
        <v>229591.65178582186</v>
      </c>
      <c r="P12" s="22">
        <f t="shared" si="1"/>
        <v>0</v>
      </c>
      <c r="Q12" s="23">
        <f t="shared" si="2"/>
        <v>0</v>
      </c>
      <c r="R12" s="23">
        <f t="shared" si="3"/>
        <v>0</v>
      </c>
      <c r="S12" s="23">
        <f t="shared" si="4"/>
        <v>229591.65178582186</v>
      </c>
      <c r="T12" s="37">
        <f t="shared" si="5"/>
        <v>0</v>
      </c>
      <c r="U12" s="20">
        <f t="shared" si="6"/>
        <v>110203.99285719449</v>
      </c>
      <c r="V12" s="20">
        <f t="shared" si="7"/>
        <v>119387.65892862737</v>
      </c>
      <c r="W12" s="20">
        <f t="shared" si="8"/>
        <v>25207.392035832076</v>
      </c>
      <c r="X12" s="35">
        <f t="shared" si="9"/>
        <v>122630.55584999388</v>
      </c>
      <c r="Y12" s="35">
        <f t="shared" si="10"/>
        <v>81753.703899995919</v>
      </c>
    </row>
    <row r="13" spans="1:25" x14ac:dyDescent="0.35">
      <c r="A13" t="str">
        <f t="shared" si="11"/>
        <v>CD31</v>
      </c>
      <c r="B13" t="s">
        <v>38</v>
      </c>
      <c r="C13" t="s">
        <v>39</v>
      </c>
      <c r="E13">
        <v>1</v>
      </c>
      <c r="F13">
        <v>257979.84523922307</v>
      </c>
      <c r="G13">
        <v>88519.920715538508</v>
      </c>
      <c r="H13">
        <v>0</v>
      </c>
      <c r="I13">
        <v>613</v>
      </c>
      <c r="J13">
        <v>10332</v>
      </c>
      <c r="K13">
        <v>122</v>
      </c>
      <c r="L13">
        <v>246912.84523922307</v>
      </c>
      <c r="M13">
        <f t="shared" si="12"/>
        <v>0.33699999999999997</v>
      </c>
      <c r="N13" s="19">
        <f t="shared" si="13"/>
        <v>86898.093845618161</v>
      </c>
      <c r="O13" s="19">
        <f t="shared" si="0"/>
        <v>86939.207845618163</v>
      </c>
      <c r="P13" s="22">
        <f t="shared" si="1"/>
        <v>0</v>
      </c>
      <c r="Q13" s="23">
        <f t="shared" si="2"/>
        <v>206.58099999999999</v>
      </c>
      <c r="R13" s="23">
        <f t="shared" si="3"/>
        <v>3481.8839999999996</v>
      </c>
      <c r="S13" s="23">
        <f t="shared" si="4"/>
        <v>83209.628845618165</v>
      </c>
      <c r="T13" s="37">
        <f t="shared" si="5"/>
        <v>41.113999999999997</v>
      </c>
      <c r="U13" s="20">
        <f t="shared" si="6"/>
        <v>41711.085045896718</v>
      </c>
      <c r="V13" s="20">
        <f t="shared" si="7"/>
        <v>45187.008799721443</v>
      </c>
      <c r="W13" s="20">
        <f t="shared" si="8"/>
        <v>9540.7402738512537</v>
      </c>
      <c r="X13" s="35">
        <f t="shared" si="9"/>
        <v>46414.412143060152</v>
      </c>
      <c r="Y13" s="35">
        <f t="shared" si="10"/>
        <v>30942.941428706767</v>
      </c>
    </row>
    <row r="14" spans="1:25" x14ac:dyDescent="0.35">
      <c r="A14" t="str">
        <f t="shared" si="11"/>
        <v>CD31</v>
      </c>
      <c r="B14" t="s">
        <v>40</v>
      </c>
      <c r="C14" t="s">
        <v>41</v>
      </c>
      <c r="E14">
        <v>1</v>
      </c>
      <c r="F14">
        <v>349447.46155454003</v>
      </c>
      <c r="G14">
        <v>119904.9544446778</v>
      </c>
      <c r="H14">
        <v>0</v>
      </c>
      <c r="I14">
        <v>0</v>
      </c>
      <c r="J14">
        <v>1970</v>
      </c>
      <c r="K14">
        <v>0</v>
      </c>
      <c r="L14">
        <v>347477.46155454003</v>
      </c>
      <c r="M14">
        <f t="shared" si="12"/>
        <v>0.33699999999999997</v>
      </c>
      <c r="N14" s="19">
        <f t="shared" si="13"/>
        <v>117763.79454387998</v>
      </c>
      <c r="O14" s="19">
        <f t="shared" si="0"/>
        <v>117763.79454387998</v>
      </c>
      <c r="P14" s="22">
        <f t="shared" si="1"/>
        <v>0</v>
      </c>
      <c r="Q14" s="23">
        <f t="shared" si="2"/>
        <v>0</v>
      </c>
      <c r="R14" s="23">
        <f t="shared" si="3"/>
        <v>663.89</v>
      </c>
      <c r="S14" s="23">
        <f t="shared" si="4"/>
        <v>117099.90454387998</v>
      </c>
      <c r="T14" s="37">
        <f t="shared" si="5"/>
        <v>0</v>
      </c>
      <c r="U14" s="20">
        <f t="shared" si="6"/>
        <v>56526.621381062389</v>
      </c>
      <c r="V14" s="20">
        <f t="shared" si="7"/>
        <v>61237.173162817591</v>
      </c>
      <c r="W14" s="20">
        <f t="shared" si="8"/>
        <v>12929.55607751798</v>
      </c>
      <c r="X14" s="35">
        <f t="shared" si="9"/>
        <v>62900.543079817202</v>
      </c>
      <c r="Y14" s="35">
        <f t="shared" si="10"/>
        <v>41933.695386544801</v>
      </c>
    </row>
    <row r="15" spans="1:25" x14ac:dyDescent="0.35">
      <c r="A15" t="str">
        <f t="shared" si="11"/>
        <v>CD31</v>
      </c>
      <c r="B15" t="s">
        <v>42</v>
      </c>
      <c r="C15" t="s">
        <v>43</v>
      </c>
      <c r="E15">
        <v>1</v>
      </c>
      <c r="F15">
        <v>214725.72631039974</v>
      </c>
      <c r="G15">
        <v>73678.252853270242</v>
      </c>
      <c r="H15">
        <v>0</v>
      </c>
      <c r="I15">
        <v>0</v>
      </c>
      <c r="J15">
        <v>0</v>
      </c>
      <c r="K15">
        <v>0</v>
      </c>
      <c r="L15">
        <v>214725.72631039974</v>
      </c>
      <c r="M15">
        <f t="shared" si="12"/>
        <v>0.33699999999999997</v>
      </c>
      <c r="N15" s="19">
        <f t="shared" si="13"/>
        <v>72362.569766604705</v>
      </c>
      <c r="O15" s="19">
        <f t="shared" si="0"/>
        <v>72362.569766604705</v>
      </c>
      <c r="P15" s="22">
        <f t="shared" si="1"/>
        <v>0</v>
      </c>
      <c r="Q15" s="23">
        <f t="shared" si="2"/>
        <v>0</v>
      </c>
      <c r="R15" s="23">
        <f t="shared" si="3"/>
        <v>0</v>
      </c>
      <c r="S15" s="23">
        <f t="shared" si="4"/>
        <v>72362.569766604705</v>
      </c>
      <c r="T15" s="37">
        <f t="shared" si="5"/>
        <v>0</v>
      </c>
      <c r="U15" s="20">
        <f t="shared" si="6"/>
        <v>34734.033487970257</v>
      </c>
      <c r="V15" s="20">
        <f t="shared" si="7"/>
        <v>37628.536278634449</v>
      </c>
      <c r="W15" s="20">
        <f t="shared" si="8"/>
        <v>7944.8518734847903</v>
      </c>
      <c r="X15" s="35">
        <f t="shared" si="9"/>
        <v>38650.63073587195</v>
      </c>
      <c r="Y15" s="35">
        <f t="shared" si="10"/>
        <v>25767.087157247966</v>
      </c>
    </row>
    <row r="16" spans="1:25" x14ac:dyDescent="0.35">
      <c r="A16" t="str">
        <f t="shared" si="11"/>
        <v>CD31</v>
      </c>
      <c r="B16" t="s">
        <v>44</v>
      </c>
      <c r="C16" t="s">
        <v>45</v>
      </c>
      <c r="E16">
        <v>1</v>
      </c>
      <c r="F16">
        <v>230238.04768972358</v>
      </c>
      <c r="G16">
        <v>79000.953381826606</v>
      </c>
      <c r="H16">
        <v>0</v>
      </c>
      <c r="I16">
        <v>1590</v>
      </c>
      <c r="J16">
        <v>3285</v>
      </c>
      <c r="K16">
        <v>318</v>
      </c>
      <c r="L16">
        <v>225045.04768972358</v>
      </c>
      <c r="M16">
        <f t="shared" si="12"/>
        <v>0.33699999999999997</v>
      </c>
      <c r="N16" s="19">
        <f t="shared" si="13"/>
        <v>77483.056071436833</v>
      </c>
      <c r="O16" s="19">
        <f t="shared" si="0"/>
        <v>77590.222071436845</v>
      </c>
      <c r="P16" s="22">
        <f t="shared" si="1"/>
        <v>0</v>
      </c>
      <c r="Q16" s="23">
        <f t="shared" si="2"/>
        <v>535.82999999999993</v>
      </c>
      <c r="R16" s="23">
        <f t="shared" si="3"/>
        <v>1107.0449999999998</v>
      </c>
      <c r="S16" s="23">
        <f t="shared" si="4"/>
        <v>75840.181071436833</v>
      </c>
      <c r="T16" s="37">
        <f t="shared" si="5"/>
        <v>107.16599999999998</v>
      </c>
      <c r="U16" s="20">
        <f t="shared" si="6"/>
        <v>37191.866914289676</v>
      </c>
      <c r="V16" s="20">
        <f t="shared" si="7"/>
        <v>40291.189157147157</v>
      </c>
      <c r="W16" s="20">
        <f t="shared" si="8"/>
        <v>8507.0417645197722</v>
      </c>
      <c r="X16" s="35">
        <f t="shared" si="9"/>
        <v>41385.608584150243</v>
      </c>
      <c r="Y16" s="35">
        <f t="shared" si="10"/>
        <v>27590.405722766827</v>
      </c>
    </row>
    <row r="17" spans="1:25" x14ac:dyDescent="0.35">
      <c r="A17" t="str">
        <f t="shared" si="11"/>
        <v>CD32</v>
      </c>
      <c r="B17" t="s">
        <v>46</v>
      </c>
      <c r="C17" t="s">
        <v>47</v>
      </c>
      <c r="E17">
        <v>1</v>
      </c>
      <c r="F17">
        <v>301385.80460616242</v>
      </c>
      <c r="G17">
        <v>103413.68917322723</v>
      </c>
      <c r="H17">
        <v>0</v>
      </c>
      <c r="I17">
        <v>0</v>
      </c>
      <c r="J17">
        <v>41</v>
      </c>
      <c r="K17">
        <v>0</v>
      </c>
      <c r="L17">
        <v>301344.80460616242</v>
      </c>
      <c r="M17">
        <f t="shared" si="12"/>
        <v>0.33699999999999997</v>
      </c>
      <c r="N17" s="19">
        <f t="shared" si="13"/>
        <v>101567.01615227672</v>
      </c>
      <c r="O17" s="19">
        <f t="shared" si="0"/>
        <v>101567.01615227673</v>
      </c>
      <c r="P17" s="22">
        <f t="shared" si="1"/>
        <v>0</v>
      </c>
      <c r="Q17" s="23">
        <f t="shared" si="2"/>
        <v>0</v>
      </c>
      <c r="R17" s="23">
        <f t="shared" si="3"/>
        <v>13.816999999999998</v>
      </c>
      <c r="S17" s="23">
        <f t="shared" si="4"/>
        <v>101553.19915227672</v>
      </c>
      <c r="T17" s="37">
        <f t="shared" si="5"/>
        <v>0</v>
      </c>
      <c r="U17" s="20">
        <f t="shared" si="6"/>
        <v>48752.167753092821</v>
      </c>
      <c r="V17" s="20">
        <f t="shared" si="7"/>
        <v>52814.848399183895</v>
      </c>
      <c r="W17" s="20">
        <f t="shared" si="8"/>
        <v>11151.274770428008</v>
      </c>
      <c r="X17" s="35">
        <f t="shared" si="9"/>
        <v>54249.444829109234</v>
      </c>
      <c r="Y17" s="35">
        <f t="shared" si="10"/>
        <v>36166.296552739492</v>
      </c>
    </row>
    <row r="18" spans="1:25" x14ac:dyDescent="0.35">
      <c r="A18" t="str">
        <f t="shared" si="11"/>
        <v>CD32</v>
      </c>
      <c r="B18" t="s">
        <v>48</v>
      </c>
      <c r="C18" t="s">
        <v>49</v>
      </c>
      <c r="E18">
        <v>1</v>
      </c>
      <c r="F18">
        <v>269363.4841267888</v>
      </c>
      <c r="G18">
        <v>92425.957680741049</v>
      </c>
      <c r="H18">
        <v>0</v>
      </c>
      <c r="I18">
        <v>170</v>
      </c>
      <c r="J18">
        <v>3234</v>
      </c>
      <c r="K18">
        <v>34</v>
      </c>
      <c r="L18">
        <v>265925.4841267888</v>
      </c>
      <c r="M18">
        <f t="shared" si="12"/>
        <v>0.33699999999999997</v>
      </c>
      <c r="N18" s="19">
        <f t="shared" si="13"/>
        <v>90764.036150727814</v>
      </c>
      <c r="O18" s="19">
        <f t="shared" si="0"/>
        <v>90775.494150727813</v>
      </c>
      <c r="P18" s="22">
        <f t="shared" si="1"/>
        <v>0</v>
      </c>
      <c r="Q18" s="23">
        <f t="shared" si="2"/>
        <v>57.289999999999992</v>
      </c>
      <c r="R18" s="23">
        <f t="shared" si="3"/>
        <v>1089.8579999999999</v>
      </c>
      <c r="S18" s="23">
        <f t="shared" si="4"/>
        <v>89616.888150727813</v>
      </c>
      <c r="T18" s="37">
        <f t="shared" si="5"/>
        <v>11.457999999999998</v>
      </c>
      <c r="U18" s="20">
        <f t="shared" si="6"/>
        <v>43566.737352349352</v>
      </c>
      <c r="V18" s="20">
        <f t="shared" si="7"/>
        <v>47197.298798378462</v>
      </c>
      <c r="W18" s="20">
        <f t="shared" si="8"/>
        <v>9965.1909126911851</v>
      </c>
      <c r="X18" s="35">
        <f t="shared" si="9"/>
        <v>48479.307142821985</v>
      </c>
      <c r="Y18" s="35">
        <f t="shared" si="10"/>
        <v>32319.538095214655</v>
      </c>
    </row>
    <row r="19" spans="1:25" x14ac:dyDescent="0.35">
      <c r="A19" t="str">
        <f t="shared" si="11"/>
        <v>CD32</v>
      </c>
      <c r="B19" t="s">
        <v>50</v>
      </c>
      <c r="C19" t="s">
        <v>51</v>
      </c>
      <c r="E19">
        <v>1</v>
      </c>
      <c r="F19">
        <v>306336.97384621942</v>
      </c>
      <c r="G19">
        <v>105112.57037137914</v>
      </c>
      <c r="H19">
        <v>0</v>
      </c>
      <c r="I19">
        <v>8930</v>
      </c>
      <c r="J19">
        <v>12123</v>
      </c>
      <c r="K19">
        <v>1786</v>
      </c>
      <c r="L19">
        <v>283497.97384621942</v>
      </c>
      <c r="M19">
        <f t="shared" si="12"/>
        <v>0.33699999999999997</v>
      </c>
      <c r="N19" s="19">
        <f t="shared" si="13"/>
        <v>102633.67818617594</v>
      </c>
      <c r="O19" s="19">
        <f t="shared" si="0"/>
        <v>103235.56018617594</v>
      </c>
      <c r="P19" s="22">
        <f t="shared" si="1"/>
        <v>0</v>
      </c>
      <c r="Q19" s="23">
        <f t="shared" si="2"/>
        <v>3009.41</v>
      </c>
      <c r="R19" s="23">
        <f t="shared" si="3"/>
        <v>4085.4509999999996</v>
      </c>
      <c r="S19" s="23">
        <f t="shared" si="4"/>
        <v>95538.817186175933</v>
      </c>
      <c r="T19" s="37">
        <f t="shared" si="5"/>
        <v>601.88199999999995</v>
      </c>
      <c r="U19" s="20">
        <f t="shared" si="6"/>
        <v>49264.165529364451</v>
      </c>
      <c r="V19" s="20">
        <f t="shared" si="7"/>
        <v>53369.512656811487</v>
      </c>
      <c r="W19" s="20">
        <f t="shared" si="8"/>
        <v>11268.386032310118</v>
      </c>
      <c r="X19" s="35">
        <f t="shared" si="9"/>
        <v>54819.175292319494</v>
      </c>
      <c r="Y19" s="35">
        <f t="shared" si="10"/>
        <v>36546.116861546332</v>
      </c>
    </row>
    <row r="20" spans="1:25" x14ac:dyDescent="0.35">
      <c r="A20" t="str">
        <f t="shared" si="11"/>
        <v>CD32</v>
      </c>
      <c r="B20" t="s">
        <v>52</v>
      </c>
      <c r="C20" t="s">
        <v>53</v>
      </c>
      <c r="E20">
        <v>1</v>
      </c>
      <c r="F20">
        <v>339966.28960056772</v>
      </c>
      <c r="G20">
        <v>116651.70576985298</v>
      </c>
      <c r="H20">
        <v>0</v>
      </c>
      <c r="I20">
        <v>0</v>
      </c>
      <c r="J20">
        <v>0</v>
      </c>
      <c r="K20">
        <v>0</v>
      </c>
      <c r="L20">
        <v>339966.28960056772</v>
      </c>
      <c r="M20">
        <f t="shared" si="12"/>
        <v>0.33699999999999997</v>
      </c>
      <c r="N20" s="19">
        <f t="shared" si="13"/>
        <v>114568.63959539132</v>
      </c>
      <c r="O20" s="19">
        <f t="shared" si="0"/>
        <v>114568.63959539132</v>
      </c>
      <c r="P20" s="22">
        <f t="shared" si="1"/>
        <v>0</v>
      </c>
      <c r="Q20" s="23">
        <f t="shared" si="2"/>
        <v>0</v>
      </c>
      <c r="R20" s="23">
        <f t="shared" si="3"/>
        <v>0</v>
      </c>
      <c r="S20" s="23">
        <f t="shared" si="4"/>
        <v>114568.63959539132</v>
      </c>
      <c r="T20" s="37">
        <f t="shared" si="5"/>
        <v>0</v>
      </c>
      <c r="U20" s="20">
        <f t="shared" si="6"/>
        <v>54992.947005787828</v>
      </c>
      <c r="V20" s="20">
        <f t="shared" si="7"/>
        <v>59575.692589603488</v>
      </c>
      <c r="W20" s="20">
        <f t="shared" si="8"/>
        <v>12578.752715221004</v>
      </c>
      <c r="X20" s="35">
        <f t="shared" si="9"/>
        <v>61193.932128102184</v>
      </c>
      <c r="Y20" s="35">
        <f t="shared" si="10"/>
        <v>40795.954752068123</v>
      </c>
    </row>
    <row r="21" spans="1:25" x14ac:dyDescent="0.35">
      <c r="A21" t="str">
        <f t="shared" si="11"/>
        <v>CD32</v>
      </c>
      <c r="B21" t="s">
        <v>54</v>
      </c>
      <c r="C21" t="s">
        <v>55</v>
      </c>
      <c r="E21">
        <v>1</v>
      </c>
      <c r="F21">
        <v>191319.22666540943</v>
      </c>
      <c r="G21">
        <v>65646.84446599285</v>
      </c>
      <c r="H21">
        <v>0</v>
      </c>
      <c r="I21">
        <v>0</v>
      </c>
      <c r="J21">
        <v>0</v>
      </c>
      <c r="K21">
        <v>0</v>
      </c>
      <c r="L21">
        <v>191319.22666540943</v>
      </c>
      <c r="M21">
        <f t="shared" si="12"/>
        <v>0.33699999999999997</v>
      </c>
      <c r="N21" s="19">
        <f t="shared" si="13"/>
        <v>64474.579386242971</v>
      </c>
      <c r="O21" s="19">
        <f t="shared" si="0"/>
        <v>64474.579386242971</v>
      </c>
      <c r="P21" s="22">
        <f t="shared" si="1"/>
        <v>0</v>
      </c>
      <c r="Q21" s="23">
        <f t="shared" si="2"/>
        <v>0</v>
      </c>
      <c r="R21" s="23">
        <f t="shared" si="3"/>
        <v>0</v>
      </c>
      <c r="S21" s="23">
        <f t="shared" si="4"/>
        <v>64474.579386242971</v>
      </c>
      <c r="T21" s="37">
        <f t="shared" si="5"/>
        <v>0</v>
      </c>
      <c r="U21" s="20">
        <f t="shared" si="6"/>
        <v>30947.798105396625</v>
      </c>
      <c r="V21" s="20">
        <f t="shared" si="7"/>
        <v>33526.78128084635</v>
      </c>
      <c r="W21" s="20">
        <f t="shared" si="8"/>
        <v>7078.8113866201484</v>
      </c>
      <c r="X21" s="35">
        <f t="shared" si="9"/>
        <v>34437.460799773697</v>
      </c>
      <c r="Y21" s="35">
        <f t="shared" si="10"/>
        <v>22958.307199849129</v>
      </c>
    </row>
    <row r="22" spans="1:25" x14ac:dyDescent="0.35">
      <c r="A22" t="str">
        <f t="shared" si="11"/>
        <v>CD33</v>
      </c>
      <c r="B22" t="s">
        <v>56</v>
      </c>
      <c r="C22" t="s">
        <v>57</v>
      </c>
      <c r="E22">
        <v>1</v>
      </c>
      <c r="F22">
        <v>176222.36916099154</v>
      </c>
      <c r="G22">
        <v>60466.700923749682</v>
      </c>
      <c r="H22">
        <v>0</v>
      </c>
      <c r="I22">
        <v>262</v>
      </c>
      <c r="J22">
        <v>27006</v>
      </c>
      <c r="K22">
        <v>52</v>
      </c>
      <c r="L22">
        <v>148902.36916099154</v>
      </c>
      <c r="M22">
        <f t="shared" si="12"/>
        <v>0.33699999999999997</v>
      </c>
      <c r="N22" s="19">
        <f t="shared" si="13"/>
        <v>59369.414407254146</v>
      </c>
      <c r="O22" s="19">
        <f t="shared" si="0"/>
        <v>59386.938407254143</v>
      </c>
      <c r="P22" s="22">
        <f t="shared" si="1"/>
        <v>0</v>
      </c>
      <c r="Q22" s="23">
        <f t="shared" si="2"/>
        <v>88.293999999999997</v>
      </c>
      <c r="R22" s="23">
        <f t="shared" si="3"/>
        <v>9101.021999999999</v>
      </c>
      <c r="S22" s="23">
        <f t="shared" si="4"/>
        <v>50180.098407254147</v>
      </c>
      <c r="T22" s="37">
        <f t="shared" si="5"/>
        <v>17.523999999999997</v>
      </c>
      <c r="U22" s="20">
        <f t="shared" si="6"/>
        <v>28497.318915481988</v>
      </c>
      <c r="V22" s="20">
        <f t="shared" si="7"/>
        <v>30872.095491772157</v>
      </c>
      <c r="W22" s="20">
        <f t="shared" si="8"/>
        <v>6518.3036589566864</v>
      </c>
      <c r="X22" s="35">
        <f t="shared" si="9"/>
        <v>31710.666448978474</v>
      </c>
      <c r="Y22" s="35">
        <f t="shared" si="10"/>
        <v>21140.444299318984</v>
      </c>
    </row>
    <row r="23" spans="1:25" x14ac:dyDescent="0.35">
      <c r="A23" t="str">
        <f t="shared" si="11"/>
        <v>CD51</v>
      </c>
      <c r="B23" t="s">
        <v>58</v>
      </c>
      <c r="C23" t="s">
        <v>59</v>
      </c>
      <c r="E23">
        <v>1</v>
      </c>
      <c r="F23">
        <v>172817.7809505582</v>
      </c>
      <c r="G23">
        <v>59298.493856344256</v>
      </c>
      <c r="H23">
        <v>0</v>
      </c>
      <c r="I23">
        <v>0</v>
      </c>
      <c r="J23">
        <v>0</v>
      </c>
      <c r="K23">
        <v>0</v>
      </c>
      <c r="L23">
        <v>172817.7809505582</v>
      </c>
      <c r="M23">
        <f t="shared" si="12"/>
        <v>0.33699999999999997</v>
      </c>
      <c r="N23" s="19">
        <f t="shared" si="13"/>
        <v>58239.592180338106</v>
      </c>
      <c r="O23" s="19">
        <f t="shared" si="0"/>
        <v>58239.592180338106</v>
      </c>
      <c r="P23" s="22">
        <f t="shared" si="1"/>
        <v>0</v>
      </c>
      <c r="Q23" s="23">
        <f t="shared" si="2"/>
        <v>0</v>
      </c>
      <c r="R23" s="23">
        <f t="shared" si="3"/>
        <v>0</v>
      </c>
      <c r="S23" s="23">
        <f t="shared" si="4"/>
        <v>58239.592180338106</v>
      </c>
      <c r="T23" s="37">
        <f t="shared" si="5"/>
        <v>0</v>
      </c>
      <c r="U23" s="20">
        <f t="shared" si="6"/>
        <v>27955.00424656229</v>
      </c>
      <c r="V23" s="20">
        <f t="shared" si="7"/>
        <v>30284.587933775816</v>
      </c>
      <c r="W23" s="20">
        <f t="shared" si="8"/>
        <v>6394.2578951706528</v>
      </c>
      <c r="X23" s="35">
        <f t="shared" si="9"/>
        <v>31107.200571100475</v>
      </c>
      <c r="Y23" s="35">
        <f t="shared" si="10"/>
        <v>20738.133714066982</v>
      </c>
    </row>
    <row r="24" spans="1:25" x14ac:dyDescent="0.35">
      <c r="A24" t="str">
        <f t="shared" si="11"/>
        <v>CD51</v>
      </c>
      <c r="B24" t="s">
        <v>60</v>
      </c>
      <c r="C24" t="s">
        <v>61</v>
      </c>
      <c r="E24">
        <v>1</v>
      </c>
      <c r="F24">
        <v>157144.99404037042</v>
      </c>
      <c r="G24">
        <v>53920.733227815836</v>
      </c>
      <c r="H24">
        <v>0</v>
      </c>
      <c r="I24">
        <v>0</v>
      </c>
      <c r="J24">
        <v>0</v>
      </c>
      <c r="K24">
        <v>0</v>
      </c>
      <c r="L24">
        <v>157144.99404037042</v>
      </c>
      <c r="M24">
        <f t="shared" si="12"/>
        <v>0.33699999999999997</v>
      </c>
      <c r="N24" s="19">
        <f t="shared" si="13"/>
        <v>52957.86299160483</v>
      </c>
      <c r="O24" s="19">
        <f t="shared" si="0"/>
        <v>52957.86299160483</v>
      </c>
      <c r="P24" s="22">
        <f t="shared" si="1"/>
        <v>0</v>
      </c>
      <c r="Q24" s="23">
        <f t="shared" si="2"/>
        <v>0</v>
      </c>
      <c r="R24" s="23">
        <f t="shared" si="3"/>
        <v>0</v>
      </c>
      <c r="S24" s="23">
        <f t="shared" si="4"/>
        <v>52957.86299160483</v>
      </c>
      <c r="T24" s="37">
        <f t="shared" si="5"/>
        <v>0</v>
      </c>
      <c r="U24" s="20">
        <f t="shared" si="6"/>
        <v>25419.774235970319</v>
      </c>
      <c r="V24" s="20">
        <f t="shared" si="7"/>
        <v>27538.088755634511</v>
      </c>
      <c r="W24" s="20">
        <f t="shared" si="8"/>
        <v>5814.3647794937051</v>
      </c>
      <c r="X24" s="35">
        <f t="shared" si="9"/>
        <v>28286.098927266674</v>
      </c>
      <c r="Y24" s="35">
        <f t="shared" si="10"/>
        <v>18857.39928484445</v>
      </c>
    </row>
    <row r="25" spans="1:25" x14ac:dyDescent="0.35">
      <c r="A25" t="str">
        <f t="shared" si="11"/>
        <v>CD51</v>
      </c>
      <c r="B25" t="s">
        <v>62</v>
      </c>
      <c r="C25" t="s">
        <v>63</v>
      </c>
      <c r="E25">
        <v>1</v>
      </c>
      <c r="F25">
        <v>206484.37728421774</v>
      </c>
      <c r="G25">
        <v>70850.421238322859</v>
      </c>
      <c r="H25">
        <v>0</v>
      </c>
      <c r="I25">
        <v>0</v>
      </c>
      <c r="J25">
        <v>0</v>
      </c>
      <c r="K25">
        <v>0</v>
      </c>
      <c r="L25">
        <v>206484.37728421774</v>
      </c>
      <c r="M25">
        <f t="shared" si="12"/>
        <v>0.33699999999999997</v>
      </c>
      <c r="N25" s="19">
        <f t="shared" si="13"/>
        <v>69585.235144781371</v>
      </c>
      <c r="O25" s="19">
        <f t="shared" si="0"/>
        <v>69585.235144781371</v>
      </c>
      <c r="P25" s="22">
        <f t="shared" si="1"/>
        <v>0</v>
      </c>
      <c r="Q25" s="23">
        <f t="shared" si="2"/>
        <v>0</v>
      </c>
      <c r="R25" s="23">
        <f t="shared" si="3"/>
        <v>0</v>
      </c>
      <c r="S25" s="23">
        <f t="shared" si="4"/>
        <v>69585.235144781371</v>
      </c>
      <c r="T25" s="37">
        <f t="shared" si="5"/>
        <v>0</v>
      </c>
      <c r="U25" s="20">
        <f t="shared" si="6"/>
        <v>33400.912869495056</v>
      </c>
      <c r="V25" s="20">
        <f t="shared" si="7"/>
        <v>36184.322275286315</v>
      </c>
      <c r="W25" s="20">
        <f t="shared" si="8"/>
        <v>7639.9219595160557</v>
      </c>
      <c r="X25" s="35">
        <f t="shared" si="9"/>
        <v>37167.187911159192</v>
      </c>
      <c r="Y25" s="35">
        <f t="shared" si="10"/>
        <v>24778.125274106129</v>
      </c>
    </row>
    <row r="26" spans="1:25" x14ac:dyDescent="0.35">
      <c r="A26" t="str">
        <f t="shared" si="11"/>
        <v>CD51</v>
      </c>
      <c r="B26" t="s">
        <v>64</v>
      </c>
      <c r="C26" t="s">
        <v>65</v>
      </c>
      <c r="E26">
        <v>1</v>
      </c>
      <c r="F26">
        <v>204725.48476705159</v>
      </c>
      <c r="G26">
        <v>70246.89724588723</v>
      </c>
      <c r="H26">
        <v>0</v>
      </c>
      <c r="I26">
        <v>0</v>
      </c>
      <c r="J26">
        <v>0</v>
      </c>
      <c r="K26">
        <v>0</v>
      </c>
      <c r="L26">
        <v>204725.48476705159</v>
      </c>
      <c r="M26">
        <f t="shared" si="12"/>
        <v>0.33699999999999997</v>
      </c>
      <c r="N26" s="19">
        <f t="shared" si="13"/>
        <v>68992.488366496385</v>
      </c>
      <c r="O26" s="19">
        <f t="shared" si="0"/>
        <v>68992.488366496385</v>
      </c>
      <c r="P26" s="22">
        <f t="shared" si="1"/>
        <v>0</v>
      </c>
      <c r="Q26" s="23">
        <f t="shared" si="2"/>
        <v>0</v>
      </c>
      <c r="R26" s="23">
        <f t="shared" si="3"/>
        <v>0</v>
      </c>
      <c r="S26" s="23">
        <f t="shared" si="4"/>
        <v>68992.488366496385</v>
      </c>
      <c r="T26" s="37">
        <f t="shared" si="5"/>
        <v>0</v>
      </c>
      <c r="U26" s="20">
        <f t="shared" si="6"/>
        <v>33116.394415918265</v>
      </c>
      <c r="V26" s="20">
        <f t="shared" si="7"/>
        <v>35876.093950578121</v>
      </c>
      <c r="W26" s="20">
        <f t="shared" si="8"/>
        <v>7574.8429363809082</v>
      </c>
      <c r="X26" s="35">
        <f t="shared" si="9"/>
        <v>36850.587258069281</v>
      </c>
      <c r="Y26" s="35">
        <f t="shared" si="10"/>
        <v>24567.058172046189</v>
      </c>
    </row>
    <row r="27" spans="1:25" x14ac:dyDescent="0.35">
      <c r="A27" t="str">
        <f t="shared" si="11"/>
        <v>CD51</v>
      </c>
      <c r="B27" t="s">
        <v>66</v>
      </c>
      <c r="C27" t="s">
        <v>67</v>
      </c>
      <c r="E27">
        <v>1</v>
      </c>
      <c r="F27">
        <v>141118.16880766957</v>
      </c>
      <c r="G27">
        <v>48421.492395242545</v>
      </c>
      <c r="H27">
        <v>0</v>
      </c>
      <c r="I27">
        <v>0</v>
      </c>
      <c r="J27">
        <v>0</v>
      </c>
      <c r="K27">
        <v>0</v>
      </c>
      <c r="L27">
        <v>141118.16880766957</v>
      </c>
      <c r="M27">
        <f t="shared" si="12"/>
        <v>0.33699999999999997</v>
      </c>
      <c r="N27" s="19">
        <f t="shared" si="13"/>
        <v>47556.822888184644</v>
      </c>
      <c r="O27" s="19">
        <f t="shared" si="0"/>
        <v>47556.822888184644</v>
      </c>
      <c r="P27" s="22">
        <f t="shared" si="1"/>
        <v>0</v>
      </c>
      <c r="Q27" s="23">
        <f t="shared" si="2"/>
        <v>0</v>
      </c>
      <c r="R27" s="23">
        <f t="shared" si="3"/>
        <v>0</v>
      </c>
      <c r="S27" s="23">
        <f t="shared" si="4"/>
        <v>47556.822888184644</v>
      </c>
      <c r="T27" s="37">
        <f t="shared" si="5"/>
        <v>0</v>
      </c>
      <c r="U27" s="20">
        <f t="shared" si="6"/>
        <v>22827.27498632863</v>
      </c>
      <c r="V27" s="20">
        <f t="shared" si="7"/>
        <v>24729.547901856015</v>
      </c>
      <c r="W27" s="20">
        <f t="shared" si="8"/>
        <v>5221.3722458837738</v>
      </c>
      <c r="X27" s="35">
        <f t="shared" si="9"/>
        <v>25401.270385380521</v>
      </c>
      <c r="Y27" s="35">
        <f t="shared" si="10"/>
        <v>16934.180256920346</v>
      </c>
    </row>
    <row r="28" spans="1:25" x14ac:dyDescent="0.35">
      <c r="A28" t="str">
        <f t="shared" si="11"/>
        <v>CD51</v>
      </c>
      <c r="B28" t="s">
        <v>68</v>
      </c>
      <c r="C28" t="s">
        <v>69</v>
      </c>
      <c r="E28">
        <v>1</v>
      </c>
      <c r="F28">
        <v>103656.95960239352</v>
      </c>
      <c r="G28">
        <v>35567.529847570368</v>
      </c>
      <c r="H28">
        <v>0</v>
      </c>
      <c r="I28">
        <v>0</v>
      </c>
      <c r="J28">
        <v>0</v>
      </c>
      <c r="K28">
        <v>0</v>
      </c>
      <c r="L28">
        <v>103656.95960239352</v>
      </c>
      <c r="M28">
        <f t="shared" si="12"/>
        <v>0.33699999999999997</v>
      </c>
      <c r="N28" s="19">
        <f t="shared" si="13"/>
        <v>34932.39538600661</v>
      </c>
      <c r="O28" s="19">
        <f t="shared" si="0"/>
        <v>34932.39538600661</v>
      </c>
      <c r="P28" s="22">
        <f t="shared" si="1"/>
        <v>0</v>
      </c>
      <c r="Q28" s="23">
        <f t="shared" si="2"/>
        <v>0</v>
      </c>
      <c r="R28" s="23">
        <f t="shared" si="3"/>
        <v>0</v>
      </c>
      <c r="S28" s="23">
        <f t="shared" si="4"/>
        <v>34932.39538600661</v>
      </c>
      <c r="T28" s="37">
        <f t="shared" si="5"/>
        <v>0</v>
      </c>
      <c r="U28" s="20">
        <f t="shared" si="6"/>
        <v>16767.549785283172</v>
      </c>
      <c r="V28" s="20">
        <f t="shared" si="7"/>
        <v>18164.845600723438</v>
      </c>
      <c r="W28" s="20">
        <f t="shared" si="8"/>
        <v>3835.3075052885597</v>
      </c>
      <c r="X28" s="35">
        <f t="shared" si="9"/>
        <v>18658.252728430831</v>
      </c>
      <c r="Y28" s="35">
        <f t="shared" si="10"/>
        <v>12438.835152287222</v>
      </c>
    </row>
    <row r="29" spans="1:25" x14ac:dyDescent="0.35">
      <c r="A29" t="str">
        <f t="shared" si="11"/>
        <v>CD51</v>
      </c>
      <c r="B29" t="s">
        <v>70</v>
      </c>
      <c r="C29" t="s">
        <v>71</v>
      </c>
      <c r="E29">
        <v>1</v>
      </c>
      <c r="F29">
        <v>88544.419505757076</v>
      </c>
      <c r="G29">
        <v>30382.005180229953</v>
      </c>
      <c r="H29">
        <v>0</v>
      </c>
      <c r="I29">
        <v>0</v>
      </c>
      <c r="J29">
        <v>0</v>
      </c>
      <c r="K29">
        <v>0</v>
      </c>
      <c r="L29">
        <v>88544.419505757076</v>
      </c>
      <c r="M29">
        <f t="shared" si="12"/>
        <v>0.33699999999999997</v>
      </c>
      <c r="N29" s="19">
        <f t="shared" si="13"/>
        <v>29839.46937344013</v>
      </c>
      <c r="O29" s="19">
        <f t="shared" si="0"/>
        <v>29839.46937344013</v>
      </c>
      <c r="P29" s="22">
        <f t="shared" si="1"/>
        <v>0</v>
      </c>
      <c r="Q29" s="23">
        <f t="shared" si="2"/>
        <v>0</v>
      </c>
      <c r="R29" s="23">
        <f t="shared" si="3"/>
        <v>0</v>
      </c>
      <c r="S29" s="23">
        <f t="shared" si="4"/>
        <v>29839.46937344013</v>
      </c>
      <c r="T29" s="37">
        <f t="shared" si="5"/>
        <v>0</v>
      </c>
      <c r="U29" s="20">
        <f t="shared" si="6"/>
        <v>14322.945299251262</v>
      </c>
      <c r="V29" s="20">
        <f t="shared" si="7"/>
        <v>15516.524074188868</v>
      </c>
      <c r="W29" s="20">
        <f t="shared" si="8"/>
        <v>3276.1435217130115</v>
      </c>
      <c r="X29" s="35">
        <f t="shared" si="9"/>
        <v>15937.995511036273</v>
      </c>
      <c r="Y29" s="35">
        <f t="shared" si="10"/>
        <v>10625.330340690849</v>
      </c>
    </row>
    <row r="30" spans="1:25" x14ac:dyDescent="0.35">
      <c r="A30" t="str">
        <f t="shared" si="11"/>
        <v>CD51</v>
      </c>
      <c r="B30" t="s">
        <v>72</v>
      </c>
      <c r="C30" t="s">
        <v>73</v>
      </c>
      <c r="E30">
        <v>1</v>
      </c>
      <c r="F30">
        <v>164910.29735357672</v>
      </c>
      <c r="G30">
        <v>56585.220575576364</v>
      </c>
      <c r="H30">
        <v>0</v>
      </c>
      <c r="I30">
        <v>0</v>
      </c>
      <c r="J30">
        <v>0</v>
      </c>
      <c r="K30">
        <v>0</v>
      </c>
      <c r="L30">
        <v>164910.29735357672</v>
      </c>
      <c r="M30">
        <f t="shared" si="12"/>
        <v>0.33699999999999997</v>
      </c>
      <c r="N30" s="19">
        <f t="shared" si="13"/>
        <v>55574.770208155351</v>
      </c>
      <c r="O30" s="19">
        <f t="shared" si="0"/>
        <v>55574.770208155351</v>
      </c>
      <c r="P30" s="22">
        <f t="shared" si="1"/>
        <v>0</v>
      </c>
      <c r="Q30" s="23">
        <f t="shared" si="2"/>
        <v>0</v>
      </c>
      <c r="R30" s="23">
        <f t="shared" si="3"/>
        <v>0</v>
      </c>
      <c r="S30" s="23">
        <f t="shared" si="4"/>
        <v>55574.770208155351</v>
      </c>
      <c r="T30" s="37">
        <f t="shared" si="5"/>
        <v>0</v>
      </c>
      <c r="U30" s="20">
        <f t="shared" si="6"/>
        <v>26675.889699914569</v>
      </c>
      <c r="V30" s="20">
        <f t="shared" si="7"/>
        <v>28898.880508240782</v>
      </c>
      <c r="W30" s="20">
        <f t="shared" si="8"/>
        <v>6101.6810020823386</v>
      </c>
      <c r="X30" s="35">
        <f t="shared" si="9"/>
        <v>29683.853523643807</v>
      </c>
      <c r="Y30" s="35">
        <f t="shared" si="10"/>
        <v>19789.235682429207</v>
      </c>
    </row>
    <row r="31" spans="1:25" x14ac:dyDescent="0.35">
      <c r="A31" t="str">
        <f t="shared" si="11"/>
        <v>CD51</v>
      </c>
      <c r="B31" t="s">
        <v>74</v>
      </c>
      <c r="C31" t="s">
        <v>75</v>
      </c>
      <c r="E31">
        <v>1</v>
      </c>
      <c r="F31">
        <v>164887.69916277801</v>
      </c>
      <c r="G31">
        <v>56577.466519999027</v>
      </c>
      <c r="H31">
        <v>0</v>
      </c>
      <c r="I31">
        <v>0</v>
      </c>
      <c r="J31">
        <v>0</v>
      </c>
      <c r="K31">
        <v>0</v>
      </c>
      <c r="L31">
        <v>164887.69916277801</v>
      </c>
      <c r="M31">
        <f t="shared" si="12"/>
        <v>0.33699999999999997</v>
      </c>
      <c r="N31" s="19">
        <f t="shared" si="13"/>
        <v>55567.154617856184</v>
      </c>
      <c r="O31" s="19">
        <f t="shared" si="0"/>
        <v>55567.154617856184</v>
      </c>
      <c r="P31" s="22">
        <f t="shared" si="1"/>
        <v>0</v>
      </c>
      <c r="Q31" s="23">
        <f t="shared" si="2"/>
        <v>0</v>
      </c>
      <c r="R31" s="23">
        <f t="shared" si="3"/>
        <v>0</v>
      </c>
      <c r="S31" s="23">
        <f t="shared" si="4"/>
        <v>55567.154617856184</v>
      </c>
      <c r="T31" s="37">
        <f t="shared" si="5"/>
        <v>0</v>
      </c>
      <c r="U31" s="20">
        <f t="shared" si="6"/>
        <v>26672.234216570967</v>
      </c>
      <c r="V31" s="20">
        <f t="shared" si="7"/>
        <v>28894.920401285217</v>
      </c>
      <c r="W31" s="20">
        <f t="shared" si="8"/>
        <v>6100.844869022786</v>
      </c>
      <c r="X31" s="35">
        <f t="shared" si="9"/>
        <v>29679.785849300039</v>
      </c>
      <c r="Y31" s="35">
        <f t="shared" si="10"/>
        <v>19786.52389953336</v>
      </c>
    </row>
    <row r="32" spans="1:25" x14ac:dyDescent="0.35">
      <c r="A32" t="str">
        <f t="shared" si="11"/>
        <v>CD51</v>
      </c>
      <c r="B32" t="s">
        <v>76</v>
      </c>
      <c r="C32" t="s">
        <v>77</v>
      </c>
      <c r="E32">
        <v>1</v>
      </c>
      <c r="F32">
        <v>83709.348266116693</v>
      </c>
      <c r="G32">
        <v>28722.960372330075</v>
      </c>
      <c r="H32">
        <v>0</v>
      </c>
      <c r="I32">
        <v>0</v>
      </c>
      <c r="J32">
        <v>0</v>
      </c>
      <c r="K32">
        <v>0</v>
      </c>
      <c r="L32">
        <v>83709.348266116693</v>
      </c>
      <c r="M32">
        <f t="shared" si="12"/>
        <v>0.33699999999999997</v>
      </c>
      <c r="N32" s="19">
        <f t="shared" si="13"/>
        <v>28210.050365681323</v>
      </c>
      <c r="O32" s="19">
        <f t="shared" si="0"/>
        <v>28210.050365681323</v>
      </c>
      <c r="P32" s="22">
        <f t="shared" si="1"/>
        <v>0</v>
      </c>
      <c r="Q32" s="23">
        <f t="shared" si="2"/>
        <v>0</v>
      </c>
      <c r="R32" s="23">
        <f t="shared" si="3"/>
        <v>0</v>
      </c>
      <c r="S32" s="23">
        <f t="shared" si="4"/>
        <v>28210.050365681323</v>
      </c>
      <c r="T32" s="37">
        <f t="shared" si="5"/>
        <v>0</v>
      </c>
      <c r="U32" s="20">
        <f t="shared" si="6"/>
        <v>13540.824175527036</v>
      </c>
      <c r="V32" s="20">
        <f t="shared" si="7"/>
        <v>14669.226190154288</v>
      </c>
      <c r="W32" s="20">
        <f t="shared" si="8"/>
        <v>3097.2458858463174</v>
      </c>
      <c r="X32" s="35">
        <f t="shared" si="9"/>
        <v>15067.682687901004</v>
      </c>
      <c r="Y32" s="35">
        <f t="shared" si="10"/>
        <v>10045.121791934003</v>
      </c>
    </row>
    <row r="33" spans="1:25" x14ac:dyDescent="0.35">
      <c r="A33" t="str">
        <f t="shared" si="11"/>
        <v>CD52</v>
      </c>
      <c r="B33" t="s">
        <v>78</v>
      </c>
      <c r="C33" t="s">
        <v>79</v>
      </c>
      <c r="E33">
        <v>1</v>
      </c>
      <c r="F33">
        <v>237808.54121963331</v>
      </c>
      <c r="G33">
        <v>81598.596179943997</v>
      </c>
      <c r="H33">
        <v>0</v>
      </c>
      <c r="I33">
        <v>0</v>
      </c>
      <c r="J33">
        <v>0</v>
      </c>
      <c r="K33">
        <v>0</v>
      </c>
      <c r="L33">
        <v>237808.54121963331</v>
      </c>
      <c r="M33">
        <f t="shared" si="12"/>
        <v>0.33699999999999997</v>
      </c>
      <c r="N33" s="19">
        <f t="shared" si="13"/>
        <v>80141.478391016411</v>
      </c>
      <c r="O33" s="19">
        <f t="shared" si="0"/>
        <v>80141.478391016411</v>
      </c>
      <c r="P33" s="22">
        <f t="shared" si="1"/>
        <v>0</v>
      </c>
      <c r="Q33" s="23">
        <f t="shared" si="2"/>
        <v>0</v>
      </c>
      <c r="R33" s="23">
        <f t="shared" si="3"/>
        <v>0</v>
      </c>
      <c r="S33" s="23">
        <f t="shared" si="4"/>
        <v>80141.478391016411</v>
      </c>
      <c r="T33" s="37">
        <f t="shared" si="5"/>
        <v>0</v>
      </c>
      <c r="U33" s="20">
        <f t="shared" si="6"/>
        <v>38467.909627687877</v>
      </c>
      <c r="V33" s="20">
        <f t="shared" si="7"/>
        <v>41673.568763328534</v>
      </c>
      <c r="W33" s="20">
        <f t="shared" si="8"/>
        <v>8798.9160251264311</v>
      </c>
      <c r="X33" s="35">
        <f t="shared" si="9"/>
        <v>42805.53741953399</v>
      </c>
      <c r="Y33" s="35">
        <f t="shared" si="10"/>
        <v>28537.024946355996</v>
      </c>
    </row>
    <row r="34" spans="1:25" x14ac:dyDescent="0.35">
      <c r="A34" t="str">
        <f t="shared" si="11"/>
        <v>CD53</v>
      </c>
      <c r="B34" t="s">
        <v>80</v>
      </c>
      <c r="C34" t="s">
        <v>81</v>
      </c>
      <c r="E34">
        <v>1</v>
      </c>
      <c r="F34">
        <v>180323.72030597343</v>
      </c>
      <c r="G34">
        <v>61873.986356624191</v>
      </c>
      <c r="H34">
        <v>0</v>
      </c>
      <c r="I34">
        <v>0</v>
      </c>
      <c r="J34">
        <v>0</v>
      </c>
      <c r="K34">
        <v>0</v>
      </c>
      <c r="L34">
        <v>180323.72030597343</v>
      </c>
      <c r="M34">
        <f t="shared" si="12"/>
        <v>0.33699999999999997</v>
      </c>
      <c r="N34" s="19">
        <f t="shared" si="13"/>
        <v>60769.093743113037</v>
      </c>
      <c r="O34" s="19">
        <f t="shared" si="0"/>
        <v>60769.093743113037</v>
      </c>
      <c r="P34" s="22">
        <f t="shared" si="1"/>
        <v>0</v>
      </c>
      <c r="Q34" s="23">
        <f t="shared" si="2"/>
        <v>0</v>
      </c>
      <c r="R34" s="23">
        <f t="shared" si="3"/>
        <v>0</v>
      </c>
      <c r="S34" s="23">
        <f t="shared" si="4"/>
        <v>60769.093743113037</v>
      </c>
      <c r="T34" s="37">
        <f t="shared" si="5"/>
        <v>0</v>
      </c>
      <c r="U34" s="20">
        <f t="shared" si="6"/>
        <v>29169.164996694257</v>
      </c>
      <c r="V34" s="20">
        <f t="shared" si="7"/>
        <v>31599.92874641878</v>
      </c>
      <c r="W34" s="20">
        <f t="shared" si="8"/>
        <v>6671.9776513210163</v>
      </c>
      <c r="X34" s="35">
        <f t="shared" si="9"/>
        <v>32458.269655075215</v>
      </c>
      <c r="Y34" s="35">
        <f t="shared" si="10"/>
        <v>21638.846436716813</v>
      </c>
    </row>
    <row r="35" spans="1:25" x14ac:dyDescent="0.35">
      <c r="A35" t="str">
        <f t="shared" si="11"/>
        <v>CD53</v>
      </c>
      <c r="B35" t="s">
        <v>82</v>
      </c>
      <c r="C35" t="s">
        <v>83</v>
      </c>
      <c r="E35">
        <v>1</v>
      </c>
      <c r="F35">
        <v>161182.56498594265</v>
      </c>
      <c r="G35">
        <v>55306.133934812904</v>
      </c>
      <c r="H35">
        <v>0</v>
      </c>
      <c r="I35">
        <v>0</v>
      </c>
      <c r="J35">
        <v>0</v>
      </c>
      <c r="K35">
        <v>0</v>
      </c>
      <c r="L35">
        <v>161182.56498594265</v>
      </c>
      <c r="M35">
        <f t="shared" si="12"/>
        <v>0.33699999999999997</v>
      </c>
      <c r="N35" s="19">
        <f t="shared" si="13"/>
        <v>54318.524400262664</v>
      </c>
      <c r="O35" s="19">
        <f t="shared" si="0"/>
        <v>54318.524400262664</v>
      </c>
      <c r="P35" s="22">
        <f t="shared" si="1"/>
        <v>0</v>
      </c>
      <c r="Q35" s="23">
        <f t="shared" si="2"/>
        <v>0</v>
      </c>
      <c r="R35" s="23">
        <f t="shared" si="3"/>
        <v>0</v>
      </c>
      <c r="S35" s="23">
        <f t="shared" si="4"/>
        <v>54318.524400262664</v>
      </c>
      <c r="T35" s="37">
        <f t="shared" si="5"/>
        <v>0</v>
      </c>
      <c r="U35" s="20">
        <f t="shared" si="6"/>
        <v>26072.891712126078</v>
      </c>
      <c r="V35" s="20">
        <f t="shared" si="7"/>
        <v>28245.632688136586</v>
      </c>
      <c r="W35" s="20">
        <f t="shared" si="8"/>
        <v>5963.754904479878</v>
      </c>
      <c r="X35" s="35">
        <f t="shared" si="9"/>
        <v>29012.861697469674</v>
      </c>
      <c r="Y35" s="35">
        <f t="shared" si="10"/>
        <v>19341.907798313117</v>
      </c>
    </row>
    <row r="36" spans="1:25" x14ac:dyDescent="0.35">
      <c r="A36" t="str">
        <f t="shared" si="11"/>
        <v>CD54</v>
      </c>
      <c r="B36" t="s">
        <v>84</v>
      </c>
      <c r="C36" t="s">
        <v>85</v>
      </c>
      <c r="E36">
        <v>1</v>
      </c>
      <c r="F36">
        <v>62795.288561000736</v>
      </c>
      <c r="G36">
        <v>21546.776104058285</v>
      </c>
      <c r="H36">
        <v>0</v>
      </c>
      <c r="I36">
        <v>6540</v>
      </c>
      <c r="J36">
        <v>25468</v>
      </c>
      <c r="K36">
        <v>1308</v>
      </c>
      <c r="L36">
        <v>29479.288561000736</v>
      </c>
      <c r="M36">
        <f t="shared" si="12"/>
        <v>0.33699999999999997</v>
      </c>
      <c r="N36" s="19">
        <f t="shared" si="13"/>
        <v>20721.216245057243</v>
      </c>
      <c r="O36" s="19">
        <f t="shared" si="0"/>
        <v>21162.012245057245</v>
      </c>
      <c r="P36" s="22">
        <f t="shared" si="1"/>
        <v>0</v>
      </c>
      <c r="Q36" s="23">
        <f t="shared" si="2"/>
        <v>2203.9799999999996</v>
      </c>
      <c r="R36" s="23">
        <f t="shared" si="3"/>
        <v>8582.7159999999985</v>
      </c>
      <c r="S36" s="23">
        <f t="shared" si="4"/>
        <v>9934.5202450572469</v>
      </c>
      <c r="T36" s="37">
        <f t="shared" si="5"/>
        <v>440.79599999999994</v>
      </c>
      <c r="U36" s="20">
        <f t="shared" si="6"/>
        <v>9946.1837976274765</v>
      </c>
      <c r="V36" s="20">
        <f t="shared" si="7"/>
        <v>10775.032447429767</v>
      </c>
      <c r="W36" s="20">
        <f t="shared" si="8"/>
        <v>2275.0296767570271</v>
      </c>
      <c r="X36" s="35">
        <f t="shared" si="9"/>
        <v>11067.711940980133</v>
      </c>
      <c r="Y36" s="35">
        <f t="shared" si="10"/>
        <v>7378.4746273200881</v>
      </c>
    </row>
    <row r="37" spans="1:25" x14ac:dyDescent="0.35">
      <c r="A37" t="str">
        <f t="shared" si="11"/>
        <v>CD54</v>
      </c>
      <c r="B37" t="s">
        <v>86</v>
      </c>
      <c r="C37" t="s">
        <v>87</v>
      </c>
      <c r="E37">
        <v>1</v>
      </c>
      <c r="F37">
        <v>248391.86156168542</v>
      </c>
      <c r="G37">
        <v>85230.022025311395</v>
      </c>
      <c r="H37">
        <v>33167</v>
      </c>
      <c r="I37">
        <v>9890</v>
      </c>
      <c r="J37">
        <v>927</v>
      </c>
      <c r="K37">
        <v>1978</v>
      </c>
      <c r="L37">
        <v>202429.86156168542</v>
      </c>
      <c r="M37">
        <f t="shared" si="12"/>
        <v>0.33699999999999997</v>
      </c>
      <c r="N37" s="19">
        <f t="shared" si="13"/>
        <v>83041.471346287974</v>
      </c>
      <c r="O37" s="19">
        <f t="shared" si="0"/>
        <v>83708.057346287984</v>
      </c>
      <c r="P37" s="22">
        <f t="shared" si="1"/>
        <v>11177.278999999999</v>
      </c>
      <c r="Q37" s="23">
        <f t="shared" si="2"/>
        <v>3332.93</v>
      </c>
      <c r="R37" s="23">
        <f t="shared" si="3"/>
        <v>312.39899999999994</v>
      </c>
      <c r="S37" s="23">
        <f t="shared" si="4"/>
        <v>68218.863346287981</v>
      </c>
      <c r="T37" s="37">
        <f t="shared" si="5"/>
        <v>666.5859999999999</v>
      </c>
      <c r="U37" s="20">
        <f t="shared" si="6"/>
        <v>39859.906246218226</v>
      </c>
      <c r="V37" s="20">
        <f t="shared" si="7"/>
        <v>43181.565100069747</v>
      </c>
      <c r="W37" s="20">
        <f t="shared" si="8"/>
        <v>9117.3128777823604</v>
      </c>
      <c r="X37" s="35">
        <f t="shared" si="9"/>
        <v>44354.495081103378</v>
      </c>
      <c r="Y37" s="35">
        <f t="shared" si="10"/>
        <v>29569.663387402248</v>
      </c>
    </row>
    <row r="38" spans="1:25" x14ac:dyDescent="0.35">
      <c r="A38" t="str">
        <f t="shared" si="11"/>
        <v>CD54</v>
      </c>
      <c r="B38" t="s">
        <v>88</v>
      </c>
      <c r="C38" t="s">
        <v>89</v>
      </c>
      <c r="E38">
        <v>1</v>
      </c>
      <c r="F38">
        <v>172808.61227249019</v>
      </c>
      <c r="G38">
        <v>59295.347832844272</v>
      </c>
      <c r="H38">
        <v>1965</v>
      </c>
      <c r="I38">
        <v>9143</v>
      </c>
      <c r="J38">
        <v>7554</v>
      </c>
      <c r="K38">
        <v>1829</v>
      </c>
      <c r="L38">
        <v>152317.61227249019</v>
      </c>
      <c r="M38">
        <f t="shared" si="12"/>
        <v>0.33699999999999997</v>
      </c>
      <c r="N38" s="19">
        <f t="shared" si="13"/>
        <v>57620.129335829188</v>
      </c>
      <c r="O38" s="19">
        <f t="shared" si="0"/>
        <v>58236.502335829187</v>
      </c>
      <c r="P38" s="22">
        <f t="shared" si="1"/>
        <v>662.20499999999993</v>
      </c>
      <c r="Q38" s="23">
        <f t="shared" si="2"/>
        <v>3081.1909999999998</v>
      </c>
      <c r="R38" s="23">
        <f t="shared" si="3"/>
        <v>2545.6979999999999</v>
      </c>
      <c r="S38" s="23">
        <f t="shared" si="4"/>
        <v>51331.03533582919</v>
      </c>
      <c r="T38" s="37">
        <f t="shared" si="5"/>
        <v>616.37299999999993</v>
      </c>
      <c r="U38" s="20">
        <f t="shared" si="6"/>
        <v>27657.66208119801</v>
      </c>
      <c r="V38" s="20">
        <f t="shared" si="7"/>
        <v>29962.467254631178</v>
      </c>
      <c r="W38" s="20">
        <f t="shared" si="8"/>
        <v>6326.2456540821368</v>
      </c>
      <c r="X38" s="35">
        <f t="shared" si="9"/>
        <v>30776.330209048232</v>
      </c>
      <c r="Y38" s="35">
        <f t="shared" si="10"/>
        <v>20517.553472698823</v>
      </c>
    </row>
    <row r="39" spans="1:25" x14ac:dyDescent="0.35">
      <c r="A39" t="str">
        <f t="shared" si="11"/>
        <v>CD54</v>
      </c>
      <c r="B39" t="s">
        <v>90</v>
      </c>
      <c r="C39" t="s">
        <v>91</v>
      </c>
      <c r="E39">
        <v>1</v>
      </c>
      <c r="F39">
        <v>171211.55708181814</v>
      </c>
      <c r="G39">
        <v>58747.354640874037</v>
      </c>
      <c r="H39">
        <v>3292</v>
      </c>
      <c r="I39">
        <v>40890</v>
      </c>
      <c r="J39">
        <v>43800</v>
      </c>
      <c r="K39">
        <v>8178</v>
      </c>
      <c r="L39">
        <v>75051.557081818144</v>
      </c>
      <c r="M39">
        <f t="shared" si="12"/>
        <v>0.33699999999999997</v>
      </c>
      <c r="N39" s="19">
        <f t="shared" si="13"/>
        <v>54942.308736572711</v>
      </c>
      <c r="O39" s="19">
        <f t="shared" si="0"/>
        <v>57698.294736572709</v>
      </c>
      <c r="P39" s="22">
        <f t="shared" si="1"/>
        <v>1109.404</v>
      </c>
      <c r="Q39" s="23">
        <f t="shared" si="2"/>
        <v>13779.929999999998</v>
      </c>
      <c r="R39" s="23">
        <f t="shared" si="3"/>
        <v>14760.599999999999</v>
      </c>
      <c r="S39" s="23">
        <f t="shared" si="4"/>
        <v>25292.37473657271</v>
      </c>
      <c r="T39" s="37">
        <f t="shared" si="5"/>
        <v>2755.9859999999999</v>
      </c>
      <c r="U39" s="20">
        <f t="shared" si="6"/>
        <v>26372.308193554902</v>
      </c>
      <c r="V39" s="20">
        <f t="shared" si="7"/>
        <v>28570.00054301781</v>
      </c>
      <c r="W39" s="20">
        <f t="shared" si="8"/>
        <v>6032.241612027271</v>
      </c>
      <c r="X39" s="35">
        <f t="shared" si="9"/>
        <v>29346.040274727264</v>
      </c>
      <c r="Y39" s="35">
        <f t="shared" si="10"/>
        <v>19564.026849818176</v>
      </c>
    </row>
    <row r="40" spans="1:25" x14ac:dyDescent="0.35">
      <c r="A40" t="str">
        <f t="shared" si="11"/>
        <v>CD54</v>
      </c>
      <c r="B40" t="s">
        <v>92</v>
      </c>
      <c r="C40" t="s">
        <v>93</v>
      </c>
      <c r="E40">
        <v>1</v>
      </c>
      <c r="F40">
        <v>90739.228996655118</v>
      </c>
      <c r="G40">
        <v>31135.104174997734</v>
      </c>
      <c r="H40">
        <v>0</v>
      </c>
      <c r="I40">
        <v>16901</v>
      </c>
      <c r="J40">
        <v>0</v>
      </c>
      <c r="K40">
        <v>3380</v>
      </c>
      <c r="L40">
        <v>70458.228996655118</v>
      </c>
      <c r="M40">
        <f t="shared" si="12"/>
        <v>0.33699999999999997</v>
      </c>
      <c r="N40" s="19">
        <f t="shared" si="13"/>
        <v>29440.06017187277</v>
      </c>
      <c r="O40" s="19">
        <f t="shared" si="0"/>
        <v>30579.120171872772</v>
      </c>
      <c r="P40" s="22">
        <f t="shared" si="1"/>
        <v>0</v>
      </c>
      <c r="Q40" s="23">
        <f t="shared" si="2"/>
        <v>5695.6369999999997</v>
      </c>
      <c r="R40" s="23">
        <f t="shared" si="3"/>
        <v>0</v>
      </c>
      <c r="S40" s="23">
        <f t="shared" si="4"/>
        <v>23744.423171872771</v>
      </c>
      <c r="T40" s="37">
        <f t="shared" si="5"/>
        <v>1139.06</v>
      </c>
      <c r="U40" s="20">
        <f t="shared" si="6"/>
        <v>14131.22888249893</v>
      </c>
      <c r="V40" s="20">
        <f t="shared" si="7"/>
        <v>15308.83128937384</v>
      </c>
      <c r="W40" s="20">
        <f t="shared" si="8"/>
        <v>3232.2914728762394</v>
      </c>
      <c r="X40" s="35">
        <f t="shared" si="9"/>
        <v>15724.66121939792</v>
      </c>
      <c r="Y40" s="35">
        <f t="shared" si="10"/>
        <v>10483.107479598613</v>
      </c>
    </row>
    <row r="41" spans="1:25" x14ac:dyDescent="0.35">
      <c r="A41" t="str">
        <f t="shared" si="11"/>
        <v>CD54</v>
      </c>
      <c r="B41" t="s">
        <v>94</v>
      </c>
      <c r="C41" t="s">
        <v>95</v>
      </c>
      <c r="E41">
        <v>1</v>
      </c>
      <c r="F41">
        <v>124200.04478184908</v>
      </c>
      <c r="G41">
        <v>42616.42263860102</v>
      </c>
      <c r="H41">
        <v>4514</v>
      </c>
      <c r="I41">
        <v>13668</v>
      </c>
      <c r="J41">
        <v>6711</v>
      </c>
      <c r="K41">
        <v>2733</v>
      </c>
      <c r="L41">
        <v>96574.044781849079</v>
      </c>
      <c r="M41">
        <f t="shared" si="12"/>
        <v>0.33699999999999997</v>
      </c>
      <c r="N41" s="19">
        <f t="shared" si="13"/>
        <v>40934.394091483133</v>
      </c>
      <c r="O41" s="19">
        <f t="shared" si="0"/>
        <v>41855.415091483133</v>
      </c>
      <c r="P41" s="22">
        <f t="shared" si="1"/>
        <v>1521.2179999999998</v>
      </c>
      <c r="Q41" s="23">
        <f t="shared" si="2"/>
        <v>4606.116</v>
      </c>
      <c r="R41" s="23">
        <f t="shared" si="3"/>
        <v>2261.607</v>
      </c>
      <c r="S41" s="23">
        <f t="shared" si="4"/>
        <v>32545.453091483138</v>
      </c>
      <c r="T41" s="37">
        <f t="shared" si="5"/>
        <v>921.02099999999996</v>
      </c>
      <c r="U41" s="20">
        <f t="shared" si="6"/>
        <v>19648.509163911902</v>
      </c>
      <c r="V41" s="20">
        <f t="shared" si="7"/>
        <v>21285.884927571231</v>
      </c>
      <c r="W41" s="20">
        <f t="shared" si="8"/>
        <v>4494.2806569284157</v>
      </c>
      <c r="X41" s="35">
        <f t="shared" si="9"/>
        <v>21864.068060732832</v>
      </c>
      <c r="Y41" s="35">
        <f t="shared" si="10"/>
        <v>14576.045373821889</v>
      </c>
    </row>
    <row r="42" spans="1:25" x14ac:dyDescent="0.35">
      <c r="A42" t="str">
        <f t="shared" si="11"/>
        <v>CD54</v>
      </c>
      <c r="B42" t="s">
        <v>96</v>
      </c>
      <c r="C42" t="s">
        <v>97</v>
      </c>
      <c r="E42">
        <v>1</v>
      </c>
      <c r="F42">
        <v>42409.590774245749</v>
      </c>
      <c r="G42">
        <v>14551.887219846649</v>
      </c>
      <c r="H42">
        <v>0</v>
      </c>
      <c r="I42">
        <v>4090</v>
      </c>
      <c r="J42">
        <v>37502</v>
      </c>
      <c r="K42">
        <v>818</v>
      </c>
      <c r="L42">
        <v>0</v>
      </c>
      <c r="M42">
        <f t="shared" si="12"/>
        <v>0.33699999999999997</v>
      </c>
      <c r="N42" s="19">
        <f t="shared" si="13"/>
        <v>14016.503999999999</v>
      </c>
      <c r="O42" s="19">
        <f t="shared" si="0"/>
        <v>14292.032090920817</v>
      </c>
      <c r="P42" s="22">
        <f t="shared" si="1"/>
        <v>0</v>
      </c>
      <c r="Q42" s="23">
        <f t="shared" si="2"/>
        <v>1378.33</v>
      </c>
      <c r="R42" s="23">
        <f t="shared" si="3"/>
        <v>12638.173999999999</v>
      </c>
      <c r="S42" s="23">
        <f t="shared" si="4"/>
        <v>0</v>
      </c>
      <c r="T42" s="37">
        <f t="shared" si="5"/>
        <v>275.666</v>
      </c>
      <c r="U42" s="20">
        <f t="shared" si="6"/>
        <v>6727.9219199999989</v>
      </c>
      <c r="V42" s="20">
        <f t="shared" si="7"/>
        <v>7288.5820800000001</v>
      </c>
      <c r="W42" s="20">
        <f t="shared" si="8"/>
        <v>1538.8888586470925</v>
      </c>
      <c r="X42" s="35">
        <f t="shared" si="9"/>
        <v>7486.4863393642345</v>
      </c>
      <c r="Y42" s="35">
        <f t="shared" si="10"/>
        <v>4990.99089290949</v>
      </c>
    </row>
    <row r="43" spans="1:25" x14ac:dyDescent="0.35">
      <c r="A43" t="str">
        <f t="shared" si="11"/>
        <v>CD54</v>
      </c>
      <c r="B43" t="s">
        <v>98</v>
      </c>
      <c r="C43" t="s">
        <v>99</v>
      </c>
      <c r="E43">
        <v>1</v>
      </c>
      <c r="F43">
        <v>88846.788533725834</v>
      </c>
      <c r="G43">
        <v>30485.756240154071</v>
      </c>
      <c r="H43">
        <v>834</v>
      </c>
      <c r="I43">
        <v>486</v>
      </c>
      <c r="J43">
        <v>140</v>
      </c>
      <c r="K43">
        <v>97</v>
      </c>
      <c r="L43">
        <v>87289.788533725834</v>
      </c>
      <c r="M43">
        <f t="shared" si="12"/>
        <v>0.33699999999999997</v>
      </c>
      <c r="N43" s="19">
        <f t="shared" si="13"/>
        <v>29908.678735865604</v>
      </c>
      <c r="O43" s="19">
        <f t="shared" si="0"/>
        <v>29941.367735865602</v>
      </c>
      <c r="P43" s="22">
        <f t="shared" si="1"/>
        <v>281.05799999999999</v>
      </c>
      <c r="Q43" s="23">
        <f t="shared" si="2"/>
        <v>163.78199999999998</v>
      </c>
      <c r="R43" s="23">
        <f t="shared" si="3"/>
        <v>47.179999999999993</v>
      </c>
      <c r="S43" s="23">
        <f t="shared" si="4"/>
        <v>29416.658735865603</v>
      </c>
      <c r="T43" s="37">
        <f t="shared" si="5"/>
        <v>32.689</v>
      </c>
      <c r="U43" s="20">
        <f t="shared" si="6"/>
        <v>14356.165793215489</v>
      </c>
      <c r="V43" s="20">
        <f t="shared" si="7"/>
        <v>15552.512942650115</v>
      </c>
      <c r="W43" s="20">
        <f t="shared" si="8"/>
        <v>3283.7421757478555</v>
      </c>
      <c r="X43" s="35">
        <f t="shared" si="9"/>
        <v>15974.961936070649</v>
      </c>
      <c r="Y43" s="35">
        <f t="shared" si="10"/>
        <v>10649.974624047099</v>
      </c>
    </row>
    <row r="44" spans="1:25" x14ac:dyDescent="0.35">
      <c r="A44" t="str">
        <f t="shared" si="11"/>
        <v>CD54</v>
      </c>
      <c r="B44" t="s">
        <v>100</v>
      </c>
      <c r="C44" t="s">
        <v>101</v>
      </c>
      <c r="E44">
        <v>1</v>
      </c>
      <c r="F44">
        <v>128023.59731716754</v>
      </c>
      <c r="G44">
        <v>43928.38779217429</v>
      </c>
      <c r="H44">
        <v>0</v>
      </c>
      <c r="I44">
        <v>29891</v>
      </c>
      <c r="J44">
        <v>38513</v>
      </c>
      <c r="K44">
        <v>5978</v>
      </c>
      <c r="L44">
        <v>53641.597317167543</v>
      </c>
      <c r="M44">
        <f t="shared" si="12"/>
        <v>0.33699999999999997</v>
      </c>
      <c r="N44" s="19">
        <f t="shared" si="13"/>
        <v>41129.366295885462</v>
      </c>
      <c r="O44" s="19">
        <f t="shared" si="0"/>
        <v>43143.952295885458</v>
      </c>
      <c r="P44" s="22">
        <f t="shared" si="1"/>
        <v>0</v>
      </c>
      <c r="Q44" s="23">
        <f t="shared" si="2"/>
        <v>10073.267</v>
      </c>
      <c r="R44" s="23">
        <f t="shared" si="3"/>
        <v>12978.880999999999</v>
      </c>
      <c r="S44" s="23">
        <f t="shared" si="4"/>
        <v>18077.218295885461</v>
      </c>
      <c r="T44" s="37">
        <f t="shared" si="5"/>
        <v>2014.5859999999998</v>
      </c>
      <c r="U44" s="20">
        <f t="shared" si="6"/>
        <v>19742.095822025021</v>
      </c>
      <c r="V44" s="20">
        <f t="shared" si="7"/>
        <v>21387.270473860441</v>
      </c>
      <c r="W44" s="20">
        <f t="shared" si="8"/>
        <v>4515.6871007351992</v>
      </c>
      <c r="X44" s="35">
        <f t="shared" si="9"/>
        <v>21968.207517090155</v>
      </c>
      <c r="Y44" s="35">
        <f t="shared" si="10"/>
        <v>14645.471678060105</v>
      </c>
    </row>
    <row r="45" spans="1:25" x14ac:dyDescent="0.35">
      <c r="A45" t="str">
        <f t="shared" si="11"/>
        <v>CD54</v>
      </c>
      <c r="B45" t="s">
        <v>102</v>
      </c>
      <c r="C45" t="s">
        <v>103</v>
      </c>
      <c r="E45">
        <v>1</v>
      </c>
      <c r="F45">
        <v>137801.75490910315</v>
      </c>
      <c r="G45">
        <v>47283.540338992629</v>
      </c>
      <c r="H45">
        <v>0</v>
      </c>
      <c r="I45">
        <v>8754</v>
      </c>
      <c r="J45">
        <v>2852</v>
      </c>
      <c r="K45">
        <v>1750</v>
      </c>
      <c r="L45">
        <v>124445.75490910315</v>
      </c>
      <c r="M45">
        <f t="shared" si="12"/>
        <v>0.33699999999999997</v>
      </c>
      <c r="N45" s="19">
        <f t="shared" si="13"/>
        <v>45849.441404367761</v>
      </c>
      <c r="O45" s="19">
        <f t="shared" si="0"/>
        <v>46439.191404367761</v>
      </c>
      <c r="P45" s="22">
        <f t="shared" si="1"/>
        <v>0</v>
      </c>
      <c r="Q45" s="23">
        <f t="shared" si="2"/>
        <v>2950.0979999999995</v>
      </c>
      <c r="R45" s="23">
        <f t="shared" si="3"/>
        <v>961.12399999999991</v>
      </c>
      <c r="S45" s="23">
        <f t="shared" si="4"/>
        <v>41938.219404367759</v>
      </c>
      <c r="T45" s="37">
        <f t="shared" si="5"/>
        <v>589.74999999999989</v>
      </c>
      <c r="U45" s="20">
        <f t="shared" si="6"/>
        <v>22007.731874096524</v>
      </c>
      <c r="V45" s="20">
        <f t="shared" si="7"/>
        <v>23841.709530271237</v>
      </c>
      <c r="W45" s="20">
        <f t="shared" si="8"/>
        <v>5033.9149316368166</v>
      </c>
      <c r="X45" s="35">
        <f t="shared" si="9"/>
        <v>24489.315883638566</v>
      </c>
      <c r="Y45" s="35">
        <f t="shared" si="10"/>
        <v>16326.210589092378</v>
      </c>
    </row>
    <row r="46" spans="1:25" x14ac:dyDescent="0.35">
      <c r="A46" t="str">
        <f t="shared" si="11"/>
        <v>CD54</v>
      </c>
      <c r="B46" t="s">
        <v>104</v>
      </c>
      <c r="C46" t="s">
        <v>105</v>
      </c>
      <c r="E46">
        <v>1</v>
      </c>
      <c r="F46">
        <v>143383.6314745433</v>
      </c>
      <c r="G46">
        <v>49198.834421592386</v>
      </c>
      <c r="H46">
        <v>50514</v>
      </c>
      <c r="I46">
        <v>9365</v>
      </c>
      <c r="J46">
        <v>14620</v>
      </c>
      <c r="K46">
        <v>1873</v>
      </c>
      <c r="L46">
        <v>67011.631474543305</v>
      </c>
      <c r="M46">
        <f t="shared" si="12"/>
        <v>0.33699999999999997</v>
      </c>
      <c r="N46" s="19">
        <f t="shared" si="13"/>
        <v>47689.082806921084</v>
      </c>
      <c r="O46" s="19">
        <f t="shared" si="0"/>
        <v>48320.283806921092</v>
      </c>
      <c r="P46" s="22">
        <f t="shared" si="1"/>
        <v>17023.217999999997</v>
      </c>
      <c r="Q46" s="23">
        <f t="shared" si="2"/>
        <v>3156.0049999999997</v>
      </c>
      <c r="R46" s="23">
        <f t="shared" si="3"/>
        <v>4926.9399999999996</v>
      </c>
      <c r="S46" s="23">
        <f t="shared" si="4"/>
        <v>22582.919806921091</v>
      </c>
      <c r="T46" s="37">
        <f t="shared" si="5"/>
        <v>631.20099999999991</v>
      </c>
      <c r="U46" s="20">
        <f t="shared" si="6"/>
        <v>22890.759747322118</v>
      </c>
      <c r="V46" s="20">
        <f t="shared" si="7"/>
        <v>24798.323059598966</v>
      </c>
      <c r="W46" s="20">
        <f t="shared" si="8"/>
        <v>5235.8933645581019</v>
      </c>
      <c r="X46" s="35">
        <f t="shared" si="9"/>
        <v>25471.913665417793</v>
      </c>
      <c r="Y46" s="35">
        <f t="shared" si="10"/>
        <v>16981.275776945196</v>
      </c>
    </row>
    <row r="47" spans="1:25" x14ac:dyDescent="0.35">
      <c r="A47" t="str">
        <f t="shared" si="11"/>
        <v>CD54</v>
      </c>
      <c r="B47" t="s">
        <v>106</v>
      </c>
      <c r="C47" t="s">
        <v>107</v>
      </c>
      <c r="E47">
        <v>1</v>
      </c>
      <c r="F47">
        <v>118821.39986612348</v>
      </c>
      <c r="G47">
        <v>40770.862877699685</v>
      </c>
      <c r="H47">
        <v>56647</v>
      </c>
      <c r="I47">
        <v>28971</v>
      </c>
      <c r="J47">
        <v>27408</v>
      </c>
      <c r="K47">
        <v>5795</v>
      </c>
      <c r="L47">
        <v>0</v>
      </c>
      <c r="M47">
        <f t="shared" si="12"/>
        <v>0.33699999999999997</v>
      </c>
      <c r="N47" s="19">
        <f t="shared" si="13"/>
        <v>38089.761999999995</v>
      </c>
      <c r="O47" s="19">
        <f t="shared" si="0"/>
        <v>40042.811754883609</v>
      </c>
      <c r="P47" s="22">
        <f t="shared" si="1"/>
        <v>19090.038999999997</v>
      </c>
      <c r="Q47" s="23">
        <f t="shared" si="2"/>
        <v>9763.226999999999</v>
      </c>
      <c r="R47" s="23">
        <f t="shared" si="3"/>
        <v>9236.4959999999992</v>
      </c>
      <c r="S47" s="23">
        <f t="shared" si="4"/>
        <v>0</v>
      </c>
      <c r="T47" s="37">
        <f t="shared" si="5"/>
        <v>1952.9149999999997</v>
      </c>
      <c r="U47" s="20">
        <f t="shared" si="6"/>
        <v>18283.085759999998</v>
      </c>
      <c r="V47" s="20">
        <f t="shared" si="7"/>
        <v>19806.676239999997</v>
      </c>
      <c r="W47" s="20">
        <f t="shared" si="8"/>
        <v>4181.9767950465684</v>
      </c>
      <c r="X47" s="35">
        <f t="shared" si="9"/>
        <v>20344.751975902225</v>
      </c>
      <c r="Y47" s="35">
        <f t="shared" si="10"/>
        <v>13563.167983934816</v>
      </c>
    </row>
    <row r="48" spans="1:25" x14ac:dyDescent="0.35">
      <c r="A48" t="str">
        <f t="shared" si="11"/>
        <v>CD54</v>
      </c>
      <c r="B48" t="s">
        <v>108</v>
      </c>
      <c r="C48" t="s">
        <v>109</v>
      </c>
      <c r="E48">
        <v>1</v>
      </c>
      <c r="F48">
        <v>126958.07105651822</v>
      </c>
      <c r="G48">
        <v>43562.776672338397</v>
      </c>
      <c r="H48">
        <v>0</v>
      </c>
      <c r="I48">
        <v>17383</v>
      </c>
      <c r="J48">
        <v>4154</v>
      </c>
      <c r="K48">
        <v>3477</v>
      </c>
      <c r="L48">
        <v>101944.07105651822</v>
      </c>
      <c r="M48">
        <f t="shared" si="12"/>
        <v>0.33699999999999997</v>
      </c>
      <c r="N48" s="19">
        <f t="shared" si="13"/>
        <v>41613.120946046634</v>
      </c>
      <c r="O48" s="19">
        <f t="shared" si="0"/>
        <v>42784.869946046638</v>
      </c>
      <c r="P48" s="22">
        <f t="shared" si="1"/>
        <v>0</v>
      </c>
      <c r="Q48" s="23">
        <f t="shared" si="2"/>
        <v>5858.070999999999</v>
      </c>
      <c r="R48" s="23">
        <f t="shared" si="3"/>
        <v>1399.8979999999999</v>
      </c>
      <c r="S48" s="23">
        <f t="shared" si="4"/>
        <v>34355.151946046637</v>
      </c>
      <c r="T48" s="37">
        <f t="shared" si="5"/>
        <v>1171.7489999999998</v>
      </c>
      <c r="U48" s="20">
        <f t="shared" si="6"/>
        <v>19974.298054102383</v>
      </c>
      <c r="V48" s="20">
        <f t="shared" si="7"/>
        <v>21638.822891944252</v>
      </c>
      <c r="W48" s="20">
        <f t="shared" si="8"/>
        <v>4568.7996290911742</v>
      </c>
      <c r="X48" s="35">
        <f t="shared" si="9"/>
        <v>22226.592790173279</v>
      </c>
      <c r="Y48" s="35">
        <f t="shared" si="10"/>
        <v>14817.728526782186</v>
      </c>
    </row>
    <row r="49" spans="1:25" x14ac:dyDescent="0.35">
      <c r="A49" t="str">
        <f t="shared" si="11"/>
        <v>CD54</v>
      </c>
      <c r="B49" t="s">
        <v>110</v>
      </c>
      <c r="C49" t="s">
        <v>111</v>
      </c>
      <c r="E49">
        <v>1</v>
      </c>
      <c r="F49">
        <v>51787.867468362369</v>
      </c>
      <c r="G49">
        <v>17769.829724780629</v>
      </c>
      <c r="H49">
        <v>0</v>
      </c>
      <c r="I49">
        <v>1394</v>
      </c>
      <c r="J49">
        <v>2681</v>
      </c>
      <c r="K49">
        <v>279</v>
      </c>
      <c r="L49">
        <v>47433.867468362369</v>
      </c>
      <c r="M49">
        <f t="shared" si="12"/>
        <v>0.33699999999999997</v>
      </c>
      <c r="N49" s="19">
        <f t="shared" si="13"/>
        <v>17358.488336838116</v>
      </c>
      <c r="O49" s="19">
        <f t="shared" si="0"/>
        <v>17452.511336838117</v>
      </c>
      <c r="P49" s="22">
        <f t="shared" si="1"/>
        <v>0</v>
      </c>
      <c r="Q49" s="23">
        <f t="shared" si="2"/>
        <v>469.77799999999996</v>
      </c>
      <c r="R49" s="23">
        <f t="shared" si="3"/>
        <v>903.49699999999996</v>
      </c>
      <c r="S49" s="23">
        <f t="shared" si="4"/>
        <v>15985.213336838116</v>
      </c>
      <c r="T49" s="37">
        <f t="shared" si="5"/>
        <v>94.022999999999996</v>
      </c>
      <c r="U49" s="20">
        <f t="shared" si="6"/>
        <v>8332.0744016822955</v>
      </c>
      <c r="V49" s="20">
        <f t="shared" si="7"/>
        <v>9026.4139351558206</v>
      </c>
      <c r="W49" s="20">
        <f t="shared" si="8"/>
        <v>1905.8280963294076</v>
      </c>
      <c r="X49" s="35">
        <f t="shared" si="9"/>
        <v>9271.5961443052256</v>
      </c>
      <c r="Y49" s="35">
        <f t="shared" si="10"/>
        <v>6181.064096203484</v>
      </c>
    </row>
    <row r="50" spans="1:25" x14ac:dyDescent="0.35">
      <c r="A50" t="str">
        <f t="shared" si="11"/>
        <v>CD54</v>
      </c>
      <c r="B50" t="s">
        <v>112</v>
      </c>
      <c r="C50" t="s">
        <v>113</v>
      </c>
      <c r="E50">
        <v>1</v>
      </c>
      <c r="F50">
        <v>136635.02422369717</v>
      </c>
      <c r="G50">
        <v>46883.203220902054</v>
      </c>
      <c r="H50">
        <v>0</v>
      </c>
      <c r="I50">
        <v>53607</v>
      </c>
      <c r="J50">
        <v>72307</v>
      </c>
      <c r="K50">
        <v>10721</v>
      </c>
      <c r="L50">
        <v>0</v>
      </c>
      <c r="M50">
        <f t="shared" si="12"/>
        <v>0.33699999999999997</v>
      </c>
      <c r="N50" s="19">
        <f t="shared" si="13"/>
        <v>42433.017999999996</v>
      </c>
      <c r="O50" s="19">
        <f t="shared" si="0"/>
        <v>46046.00316338594</v>
      </c>
      <c r="P50" s="22">
        <f t="shared" si="1"/>
        <v>0</v>
      </c>
      <c r="Q50" s="23">
        <f t="shared" si="2"/>
        <v>18065.558999999997</v>
      </c>
      <c r="R50" s="23">
        <f t="shared" si="3"/>
        <v>24367.458999999999</v>
      </c>
      <c r="S50" s="23">
        <f t="shared" si="4"/>
        <v>0</v>
      </c>
      <c r="T50" s="37">
        <f t="shared" si="5"/>
        <v>3612.9769999999999</v>
      </c>
      <c r="U50" s="20">
        <f t="shared" si="6"/>
        <v>20367.848639999997</v>
      </c>
      <c r="V50" s="20">
        <f t="shared" si="7"/>
        <v>22065.16936</v>
      </c>
      <c r="W50" s="20">
        <f t="shared" si="8"/>
        <v>4658.8188962767954</v>
      </c>
      <c r="X50" s="35">
        <f t="shared" si="9"/>
        <v>22664.524360265488</v>
      </c>
      <c r="Y50" s="35">
        <f t="shared" si="10"/>
        <v>15109.68290684366</v>
      </c>
    </row>
    <row r="51" spans="1:25" x14ac:dyDescent="0.35">
      <c r="A51" t="str">
        <f t="shared" si="11"/>
        <v>CD54</v>
      </c>
      <c r="B51" t="s">
        <v>114</v>
      </c>
      <c r="C51" t="s">
        <v>115</v>
      </c>
      <c r="E51">
        <v>1</v>
      </c>
      <c r="F51">
        <v>118739.94264619739</v>
      </c>
      <c r="G51">
        <v>40742.912683982489</v>
      </c>
      <c r="H51">
        <v>8475</v>
      </c>
      <c r="I51">
        <v>48180</v>
      </c>
      <c r="J51">
        <v>4270</v>
      </c>
      <c r="K51">
        <v>9636</v>
      </c>
      <c r="L51">
        <v>48178.942646197393</v>
      </c>
      <c r="M51">
        <f t="shared" si="12"/>
        <v>0.33699999999999997</v>
      </c>
      <c r="N51" s="19">
        <f t="shared" si="13"/>
        <v>36768.028671768516</v>
      </c>
      <c r="O51" s="19">
        <f t="shared" si="0"/>
        <v>40015.360671768518</v>
      </c>
      <c r="P51" s="22">
        <f t="shared" si="1"/>
        <v>2856.0749999999998</v>
      </c>
      <c r="Q51" s="23">
        <f t="shared" si="2"/>
        <v>16236.659999999998</v>
      </c>
      <c r="R51" s="23">
        <f t="shared" si="3"/>
        <v>1438.9899999999998</v>
      </c>
      <c r="S51" s="23">
        <f t="shared" si="4"/>
        <v>16236.303671768519</v>
      </c>
      <c r="T51" s="37">
        <f t="shared" si="5"/>
        <v>3247.3319999999999</v>
      </c>
      <c r="U51" s="20">
        <f t="shared" si="6"/>
        <v>17648.653762448888</v>
      </c>
      <c r="V51" s="20">
        <f t="shared" si="7"/>
        <v>19119.374909319627</v>
      </c>
      <c r="W51" s="20">
        <f t="shared" si="8"/>
        <v>4036.8458779093035</v>
      </c>
      <c r="X51" s="35">
        <f t="shared" si="9"/>
        <v>19638.709676315531</v>
      </c>
      <c r="Y51" s="35">
        <f t="shared" si="10"/>
        <v>13092.473117543686</v>
      </c>
    </row>
    <row r="52" spans="1:25" x14ac:dyDescent="0.35">
      <c r="A52" t="str">
        <f t="shared" si="11"/>
        <v>CD54</v>
      </c>
      <c r="B52" t="s">
        <v>116</v>
      </c>
      <c r="C52" t="s">
        <v>117</v>
      </c>
      <c r="E52">
        <v>1</v>
      </c>
      <c r="F52">
        <v>85841.099398473321</v>
      </c>
      <c r="G52">
        <v>29454.42232450888</v>
      </c>
      <c r="H52">
        <v>0</v>
      </c>
      <c r="I52">
        <v>15750</v>
      </c>
      <c r="J52">
        <v>4168</v>
      </c>
      <c r="K52">
        <v>3150</v>
      </c>
      <c r="L52">
        <v>62773.099398473321</v>
      </c>
      <c r="M52">
        <f t="shared" si="12"/>
        <v>0.33699999999999997</v>
      </c>
      <c r="N52" s="19">
        <f t="shared" si="13"/>
        <v>27866.900497285504</v>
      </c>
      <c r="O52" s="19">
        <f t="shared" si="0"/>
        <v>28928.450497285507</v>
      </c>
      <c r="P52" s="22">
        <f t="shared" si="1"/>
        <v>0</v>
      </c>
      <c r="Q52" s="23">
        <f t="shared" si="2"/>
        <v>5307.7499999999991</v>
      </c>
      <c r="R52" s="23">
        <f t="shared" si="3"/>
        <v>1404.6159999999998</v>
      </c>
      <c r="S52" s="23">
        <f t="shared" si="4"/>
        <v>21154.534497285505</v>
      </c>
      <c r="T52" s="37">
        <f t="shared" si="5"/>
        <v>1061.55</v>
      </c>
      <c r="U52" s="20">
        <f t="shared" si="6"/>
        <v>13376.112238697042</v>
      </c>
      <c r="V52" s="20">
        <f t="shared" si="7"/>
        <v>14490.788258588462</v>
      </c>
      <c r="W52" s="20">
        <f t="shared" si="8"/>
        <v>3059.5706777435125</v>
      </c>
      <c r="X52" s="35">
        <f t="shared" si="9"/>
        <v>14884.397891725197</v>
      </c>
      <c r="Y52" s="35">
        <f t="shared" si="10"/>
        <v>9922.9319278167986</v>
      </c>
    </row>
    <row r="53" spans="1:25" x14ac:dyDescent="0.35">
      <c r="A53" t="str">
        <f t="shared" si="11"/>
        <v>CD54</v>
      </c>
      <c r="B53" t="s">
        <v>118</v>
      </c>
      <c r="C53" t="s">
        <v>119</v>
      </c>
      <c r="E53">
        <v>1</v>
      </c>
      <c r="F53">
        <v>123553.32382364802</v>
      </c>
      <c r="G53">
        <v>42394.515039997917</v>
      </c>
      <c r="H53">
        <v>0</v>
      </c>
      <c r="I53">
        <v>3304</v>
      </c>
      <c r="J53">
        <v>36665</v>
      </c>
      <c r="K53">
        <v>661</v>
      </c>
      <c r="L53">
        <v>82923.323823648025</v>
      </c>
      <c r="M53">
        <f t="shared" si="12"/>
        <v>0.33699999999999997</v>
      </c>
      <c r="N53" s="19">
        <f t="shared" si="13"/>
        <v>41414.713128569383</v>
      </c>
      <c r="O53" s="19">
        <f t="shared" si="0"/>
        <v>41637.470128569381</v>
      </c>
      <c r="P53" s="22">
        <f t="shared" si="1"/>
        <v>0</v>
      </c>
      <c r="Q53" s="23">
        <f t="shared" si="2"/>
        <v>1113.4479999999999</v>
      </c>
      <c r="R53" s="23">
        <f t="shared" si="3"/>
        <v>12356.105</v>
      </c>
      <c r="S53" s="23">
        <f t="shared" si="4"/>
        <v>27945.160128569383</v>
      </c>
      <c r="T53" s="37">
        <f t="shared" si="5"/>
        <v>222.75699999999998</v>
      </c>
      <c r="U53" s="20">
        <f t="shared" si="6"/>
        <v>19879.062301713304</v>
      </c>
      <c r="V53" s="20">
        <f t="shared" si="7"/>
        <v>21535.650826856079</v>
      </c>
      <c r="W53" s="20">
        <f t="shared" si="8"/>
        <v>4547.0159814749768</v>
      </c>
      <c r="X53" s="35">
        <f t="shared" si="9"/>
        <v>22120.618288256643</v>
      </c>
      <c r="Y53" s="35">
        <f t="shared" si="10"/>
        <v>14747.078858837762</v>
      </c>
    </row>
    <row r="54" spans="1:25" x14ac:dyDescent="0.35">
      <c r="A54" t="str">
        <f t="shared" si="11"/>
        <v>CD54</v>
      </c>
      <c r="B54" t="s">
        <v>120</v>
      </c>
      <c r="C54" t="s">
        <v>121</v>
      </c>
      <c r="E54">
        <v>1</v>
      </c>
      <c r="F54">
        <v>131224.2901001219</v>
      </c>
      <c r="G54">
        <v>45026.632777627281</v>
      </c>
      <c r="H54">
        <v>45654</v>
      </c>
      <c r="I54">
        <v>6314</v>
      </c>
      <c r="J54">
        <v>3683</v>
      </c>
      <c r="K54">
        <v>1263</v>
      </c>
      <c r="L54">
        <v>74310.2901001219</v>
      </c>
      <c r="M54">
        <f t="shared" si="12"/>
        <v>0.33699999999999997</v>
      </c>
      <c r="N54" s="19">
        <f t="shared" si="13"/>
        <v>43796.954763741072</v>
      </c>
      <c r="O54" s="19">
        <f t="shared" si="0"/>
        <v>44222.585763741074</v>
      </c>
      <c r="P54" s="22">
        <f t="shared" si="1"/>
        <v>15385.397999999999</v>
      </c>
      <c r="Q54" s="23">
        <f t="shared" si="2"/>
        <v>2127.8179999999998</v>
      </c>
      <c r="R54" s="23">
        <f t="shared" si="3"/>
        <v>1241.1709999999998</v>
      </c>
      <c r="S54" s="23">
        <f t="shared" si="4"/>
        <v>25042.567763741077</v>
      </c>
      <c r="T54" s="37">
        <f t="shared" si="5"/>
        <v>425.63099999999997</v>
      </c>
      <c r="U54" s="20">
        <f t="shared" si="6"/>
        <v>21022.538286595714</v>
      </c>
      <c r="V54" s="20">
        <f t="shared" si="7"/>
        <v>22774.416477145358</v>
      </c>
      <c r="W54" s="20">
        <f t="shared" si="8"/>
        <v>4808.5677337045099</v>
      </c>
      <c r="X54" s="35">
        <f t="shared" si="9"/>
        <v>23393.032218021941</v>
      </c>
      <c r="Y54" s="35">
        <f t="shared" si="10"/>
        <v>15595.354812014628</v>
      </c>
    </row>
    <row r="55" spans="1:25" x14ac:dyDescent="0.35">
      <c r="A55" t="str">
        <f t="shared" si="11"/>
        <v>CD54</v>
      </c>
      <c r="B55" t="s">
        <v>122</v>
      </c>
      <c r="C55" t="s">
        <v>123</v>
      </c>
      <c r="E55">
        <v>1</v>
      </c>
      <c r="F55">
        <v>185580.11699665923</v>
      </c>
      <c r="G55">
        <v>63677.599417471865</v>
      </c>
      <c r="H55">
        <v>0</v>
      </c>
      <c r="I55">
        <v>19987</v>
      </c>
      <c r="J55">
        <v>120644</v>
      </c>
      <c r="K55">
        <v>3998</v>
      </c>
      <c r="L55">
        <v>40951.116996659228</v>
      </c>
      <c r="M55">
        <f t="shared" si="12"/>
        <v>0.33699999999999997</v>
      </c>
      <c r="N55" s="19">
        <f t="shared" si="13"/>
        <v>61193.173427874157</v>
      </c>
      <c r="O55" s="19">
        <f t="shared" si="0"/>
        <v>62540.499427874151</v>
      </c>
      <c r="P55" s="22">
        <f t="shared" si="1"/>
        <v>0</v>
      </c>
      <c r="Q55" s="23">
        <f t="shared" si="2"/>
        <v>6735.6189999999997</v>
      </c>
      <c r="R55" s="23">
        <f t="shared" si="3"/>
        <v>40657.027999999998</v>
      </c>
      <c r="S55" s="23">
        <f t="shared" si="4"/>
        <v>13800.526427874158</v>
      </c>
      <c r="T55" s="37">
        <f t="shared" si="5"/>
        <v>1347.3259999999998</v>
      </c>
      <c r="U55" s="20">
        <f t="shared" si="6"/>
        <v>29372.723245379595</v>
      </c>
      <c r="V55" s="20">
        <f t="shared" si="7"/>
        <v>31820.450182494562</v>
      </c>
      <c r="W55" s="20">
        <f t="shared" si="8"/>
        <v>6718.5383288763915</v>
      </c>
      <c r="X55" s="35">
        <f t="shared" si="9"/>
        <v>32684.781059398661</v>
      </c>
      <c r="Y55" s="35">
        <f t="shared" si="10"/>
        <v>21789.854039599108</v>
      </c>
    </row>
    <row r="56" spans="1:25" x14ac:dyDescent="0.35">
      <c r="A56" t="str">
        <f t="shared" si="11"/>
        <v>CD54</v>
      </c>
      <c r="B56" t="s">
        <v>124</v>
      </c>
      <c r="C56" t="s">
        <v>125</v>
      </c>
      <c r="E56">
        <v>1</v>
      </c>
      <c r="F56">
        <v>102260.9002150895</v>
      </c>
      <c r="G56">
        <v>35088.503797439436</v>
      </c>
      <c r="H56">
        <v>12497</v>
      </c>
      <c r="I56">
        <v>11764</v>
      </c>
      <c r="J56">
        <v>45626</v>
      </c>
      <c r="K56">
        <v>2352</v>
      </c>
      <c r="L56">
        <v>30021.900215089496</v>
      </c>
      <c r="M56">
        <f t="shared" si="12"/>
        <v>0.33699999999999997</v>
      </c>
      <c r="N56" s="19">
        <f t="shared" si="13"/>
        <v>33669.299372485155</v>
      </c>
      <c r="O56" s="19">
        <f t="shared" si="0"/>
        <v>34461.923372485158</v>
      </c>
      <c r="P56" s="22">
        <f t="shared" si="1"/>
        <v>4211.4889999999996</v>
      </c>
      <c r="Q56" s="23">
        <f t="shared" si="2"/>
        <v>3964.4679999999994</v>
      </c>
      <c r="R56" s="23">
        <f t="shared" si="3"/>
        <v>15375.961999999998</v>
      </c>
      <c r="S56" s="23">
        <f t="shared" si="4"/>
        <v>10117.380372485159</v>
      </c>
      <c r="T56" s="37">
        <f t="shared" si="5"/>
        <v>792.62399999999991</v>
      </c>
      <c r="U56" s="20">
        <f t="shared" si="6"/>
        <v>16161.263698792874</v>
      </c>
      <c r="V56" s="20">
        <f t="shared" si="7"/>
        <v>17508.03567369228</v>
      </c>
      <c r="W56" s="20">
        <f t="shared" si="8"/>
        <v>3696.6293079583111</v>
      </c>
      <c r="X56" s="35">
        <f t="shared" si="9"/>
        <v>17983.602038716108</v>
      </c>
      <c r="Y56" s="35">
        <f t="shared" si="10"/>
        <v>11989.068025810739</v>
      </c>
    </row>
    <row r="57" spans="1:25" x14ac:dyDescent="0.35">
      <c r="A57" t="str">
        <f t="shared" si="11"/>
        <v>CD54</v>
      </c>
      <c r="B57" t="s">
        <v>126</v>
      </c>
      <c r="C57" t="s">
        <v>127</v>
      </c>
      <c r="E57">
        <v>1</v>
      </c>
      <c r="F57">
        <v>152029.61598952644</v>
      </c>
      <c r="G57">
        <v>52165.50750826078</v>
      </c>
      <c r="H57">
        <v>54951</v>
      </c>
      <c r="I57">
        <v>5484</v>
      </c>
      <c r="J57">
        <v>32</v>
      </c>
      <c r="K57">
        <v>1096</v>
      </c>
      <c r="L57">
        <v>90466.615989526443</v>
      </c>
      <c r="M57">
        <f t="shared" si="12"/>
        <v>0.33699999999999997</v>
      </c>
      <c r="N57" s="19">
        <f t="shared" si="13"/>
        <v>50864.628588470405</v>
      </c>
      <c r="O57" s="19">
        <f t="shared" si="0"/>
        <v>51233.980588470404</v>
      </c>
      <c r="P57" s="22">
        <f t="shared" si="1"/>
        <v>18518.486999999997</v>
      </c>
      <c r="Q57" s="23">
        <f t="shared" si="2"/>
        <v>1848.1079999999997</v>
      </c>
      <c r="R57" s="23">
        <f t="shared" si="3"/>
        <v>10.783999999999999</v>
      </c>
      <c r="S57" s="23">
        <f t="shared" si="4"/>
        <v>30487.249588470408</v>
      </c>
      <c r="T57" s="37">
        <f t="shared" si="5"/>
        <v>369.35199999999998</v>
      </c>
      <c r="U57" s="20">
        <f t="shared" si="6"/>
        <v>24415.021722465794</v>
      </c>
      <c r="V57" s="20">
        <f t="shared" si="7"/>
        <v>26449.606866004611</v>
      </c>
      <c r="W57" s="20">
        <f t="shared" si="8"/>
        <v>5584.5437916124783</v>
      </c>
      <c r="X57" s="35">
        <f t="shared" si="9"/>
        <v>27168.050878114758</v>
      </c>
      <c r="Y57" s="35">
        <f t="shared" si="10"/>
        <v>18112.033918743171</v>
      </c>
    </row>
    <row r="58" spans="1:25" x14ac:dyDescent="0.35">
      <c r="A58" t="str">
        <f t="shared" si="11"/>
        <v>CD54</v>
      </c>
      <c r="B58" t="s">
        <v>128</v>
      </c>
      <c r="C58" t="s">
        <v>129</v>
      </c>
      <c r="E58">
        <v>1</v>
      </c>
      <c r="F58">
        <v>146537.42464602509</v>
      </c>
      <c r="G58">
        <v>50280.986871268819</v>
      </c>
      <c r="H58">
        <v>0</v>
      </c>
      <c r="I58">
        <v>2390</v>
      </c>
      <c r="J58">
        <v>3540</v>
      </c>
      <c r="K58">
        <v>478</v>
      </c>
      <c r="L58">
        <v>140129.42464602509</v>
      </c>
      <c r="M58">
        <f t="shared" si="12"/>
        <v>0.33699999999999997</v>
      </c>
      <c r="N58" s="19">
        <f t="shared" si="13"/>
        <v>49222.026105710451</v>
      </c>
      <c r="O58" s="19">
        <f t="shared" si="0"/>
        <v>49383.112105710446</v>
      </c>
      <c r="P58" s="22">
        <f t="shared" si="1"/>
        <v>0</v>
      </c>
      <c r="Q58" s="23">
        <f t="shared" si="2"/>
        <v>805.43</v>
      </c>
      <c r="R58" s="23">
        <f t="shared" si="3"/>
        <v>1192.9799999999998</v>
      </c>
      <c r="S58" s="23">
        <f t="shared" si="4"/>
        <v>47223.616105710447</v>
      </c>
      <c r="T58" s="37">
        <f t="shared" si="5"/>
        <v>161.08599999999998</v>
      </c>
      <c r="U58" s="20">
        <f t="shared" si="6"/>
        <v>23626.572530741014</v>
      </c>
      <c r="V58" s="20">
        <f t="shared" si="7"/>
        <v>25595.453574969437</v>
      </c>
      <c r="W58" s="20">
        <f t="shared" si="8"/>
        <v>5404.1987119029282</v>
      </c>
      <c r="X58" s="35">
        <f t="shared" si="9"/>
        <v>26290.696436284514</v>
      </c>
      <c r="Y58" s="35">
        <f t="shared" si="10"/>
        <v>17527.130957523012</v>
      </c>
    </row>
    <row r="59" spans="1:25" x14ac:dyDescent="0.35">
      <c r="A59" t="str">
        <f t="shared" si="11"/>
        <v>CD54</v>
      </c>
      <c r="B59" t="s">
        <v>130</v>
      </c>
      <c r="C59" t="s">
        <v>131</v>
      </c>
      <c r="E59">
        <v>1</v>
      </c>
      <c r="F59">
        <v>114661.3220484841</v>
      </c>
      <c r="G59">
        <v>39343.426721799857</v>
      </c>
      <c r="H59">
        <v>0</v>
      </c>
      <c r="I59">
        <v>1290</v>
      </c>
      <c r="J59">
        <v>2799</v>
      </c>
      <c r="K59">
        <v>258</v>
      </c>
      <c r="L59">
        <v>110314.3220484841</v>
      </c>
      <c r="M59">
        <f t="shared" si="12"/>
        <v>0.33699999999999997</v>
      </c>
      <c r="N59" s="19">
        <f t="shared" si="13"/>
        <v>38553.919530339139</v>
      </c>
      <c r="O59" s="19">
        <f t="shared" si="0"/>
        <v>38640.865530339135</v>
      </c>
      <c r="P59" s="22">
        <f t="shared" si="1"/>
        <v>0</v>
      </c>
      <c r="Q59" s="23">
        <f t="shared" si="2"/>
        <v>434.72999999999996</v>
      </c>
      <c r="R59" s="23">
        <f t="shared" si="3"/>
        <v>943.26299999999992</v>
      </c>
      <c r="S59" s="23">
        <f t="shared" si="4"/>
        <v>37175.926530339137</v>
      </c>
      <c r="T59" s="37">
        <f t="shared" si="5"/>
        <v>86.945999999999998</v>
      </c>
      <c r="U59" s="20">
        <f t="shared" si="6"/>
        <v>18505.881374562785</v>
      </c>
      <c r="V59" s="20">
        <f t="shared" si="7"/>
        <v>20048.038155776354</v>
      </c>
      <c r="W59" s="20">
        <f t="shared" si="8"/>
        <v>4232.9229157939117</v>
      </c>
      <c r="X59" s="35">
        <f t="shared" si="9"/>
        <v>20592.597968727136</v>
      </c>
      <c r="Y59" s="35">
        <f t="shared" si="10"/>
        <v>13728.398645818092</v>
      </c>
    </row>
    <row r="60" spans="1:25" x14ac:dyDescent="0.35">
      <c r="A60" t="str">
        <f t="shared" si="11"/>
        <v>CD54</v>
      </c>
      <c r="B60" t="s">
        <v>132</v>
      </c>
      <c r="C60" t="s">
        <v>133</v>
      </c>
      <c r="E60">
        <v>1</v>
      </c>
      <c r="F60">
        <v>222845.56091254234</v>
      </c>
      <c r="G60">
        <v>76464.389555299975</v>
      </c>
      <c r="H60">
        <v>0</v>
      </c>
      <c r="I60">
        <v>29920</v>
      </c>
      <c r="J60">
        <v>41549</v>
      </c>
      <c r="K60">
        <v>5984</v>
      </c>
      <c r="L60">
        <v>145392.56091254234</v>
      </c>
      <c r="M60">
        <f t="shared" si="12"/>
        <v>0.33699999999999997</v>
      </c>
      <c r="N60" s="19">
        <f t="shared" si="13"/>
        <v>73082.346027526772</v>
      </c>
      <c r="O60" s="19">
        <f t="shared" si="0"/>
        <v>75098.954027526765</v>
      </c>
      <c r="P60" s="22">
        <f t="shared" si="1"/>
        <v>0</v>
      </c>
      <c r="Q60" s="23">
        <f t="shared" si="2"/>
        <v>10083.039999999999</v>
      </c>
      <c r="R60" s="23">
        <f t="shared" si="3"/>
        <v>14002.012999999999</v>
      </c>
      <c r="S60" s="23">
        <f t="shared" si="4"/>
        <v>48997.293027526764</v>
      </c>
      <c r="T60" s="37">
        <f t="shared" si="5"/>
        <v>2016.6079999999997</v>
      </c>
      <c r="U60" s="20">
        <f t="shared" si="6"/>
        <v>35079.526093212851</v>
      </c>
      <c r="V60" s="20">
        <f t="shared" si="7"/>
        <v>38002.81993431392</v>
      </c>
      <c r="W60" s="20">
        <f t="shared" si="8"/>
        <v>8023.8777537640663</v>
      </c>
      <c r="X60" s="35">
        <f t="shared" si="9"/>
        <v>39035.080964257621</v>
      </c>
      <c r="Y60" s="35">
        <f t="shared" si="10"/>
        <v>26023.38730950508</v>
      </c>
    </row>
    <row r="61" spans="1:25" x14ac:dyDescent="0.35">
      <c r="A61" t="str">
        <f t="shared" si="11"/>
        <v>CD54</v>
      </c>
      <c r="B61" t="s">
        <v>134</v>
      </c>
      <c r="C61" t="s">
        <v>135</v>
      </c>
      <c r="E61">
        <v>1</v>
      </c>
      <c r="F61">
        <v>161702.45515569899</v>
      </c>
      <c r="G61">
        <v>55484.522430879115</v>
      </c>
      <c r="H61">
        <v>1237</v>
      </c>
      <c r="I61">
        <v>2882</v>
      </c>
      <c r="J61">
        <v>0</v>
      </c>
      <c r="K61">
        <v>576</v>
      </c>
      <c r="L61">
        <v>157007.45515569899</v>
      </c>
      <c r="M61">
        <f t="shared" si="12"/>
        <v>0.33699999999999997</v>
      </c>
      <c r="N61" s="19">
        <f t="shared" si="13"/>
        <v>54299.615387470556</v>
      </c>
      <c r="O61" s="19">
        <f t="shared" si="0"/>
        <v>54493.727387470557</v>
      </c>
      <c r="P61" s="22">
        <f t="shared" si="1"/>
        <v>416.86899999999997</v>
      </c>
      <c r="Q61" s="23">
        <f t="shared" si="2"/>
        <v>971.23399999999992</v>
      </c>
      <c r="R61" s="23">
        <f t="shared" si="3"/>
        <v>0</v>
      </c>
      <c r="S61" s="23">
        <f t="shared" si="4"/>
        <v>52911.512387470553</v>
      </c>
      <c r="T61" s="37">
        <f t="shared" si="5"/>
        <v>194.11199999999997</v>
      </c>
      <c r="U61" s="20">
        <f t="shared" si="6"/>
        <v>26063.815385985865</v>
      </c>
      <c r="V61" s="20">
        <f t="shared" si="7"/>
        <v>28235.800001484691</v>
      </c>
      <c r="W61" s="20">
        <f t="shared" si="8"/>
        <v>5961.6788407608619</v>
      </c>
      <c r="X61" s="35">
        <f t="shared" si="9"/>
        <v>29002.761928025819</v>
      </c>
      <c r="Y61" s="35">
        <f t="shared" si="10"/>
        <v>19335.174618683879</v>
      </c>
    </row>
    <row r="62" spans="1:25" x14ac:dyDescent="0.35">
      <c r="A62" t="str">
        <f t="shared" si="11"/>
        <v>CD54</v>
      </c>
      <c r="B62" t="s">
        <v>136</v>
      </c>
      <c r="C62" t="s">
        <v>137</v>
      </c>
      <c r="E62">
        <v>1</v>
      </c>
      <c r="F62">
        <v>216059.10485243757</v>
      </c>
      <c r="G62">
        <v>74135.771395912743</v>
      </c>
      <c r="H62">
        <v>0</v>
      </c>
      <c r="I62">
        <v>23421</v>
      </c>
      <c r="J62">
        <v>0</v>
      </c>
      <c r="K62">
        <v>4684</v>
      </c>
      <c r="L62">
        <v>187954.10485243757</v>
      </c>
      <c r="M62">
        <f t="shared" si="12"/>
        <v>0.33699999999999997</v>
      </c>
      <c r="N62" s="19">
        <f t="shared" si="13"/>
        <v>71233.410335271445</v>
      </c>
      <c r="O62" s="19">
        <f t="shared" si="0"/>
        <v>72811.918335271446</v>
      </c>
      <c r="P62" s="22">
        <f t="shared" si="1"/>
        <v>0</v>
      </c>
      <c r="Q62" s="23">
        <f t="shared" si="2"/>
        <v>7892.8769999999995</v>
      </c>
      <c r="R62" s="23">
        <f t="shared" si="3"/>
        <v>0</v>
      </c>
      <c r="S62" s="23">
        <f t="shared" si="4"/>
        <v>63340.533335271452</v>
      </c>
      <c r="T62" s="37">
        <f t="shared" si="5"/>
        <v>1578.5079999999998</v>
      </c>
      <c r="U62" s="20">
        <f t="shared" si="6"/>
        <v>34192.036960930294</v>
      </c>
      <c r="V62" s="20">
        <f t="shared" si="7"/>
        <v>37041.37337434115</v>
      </c>
      <c r="W62" s="20">
        <f t="shared" si="8"/>
        <v>7820.8788795401897</v>
      </c>
      <c r="X62" s="35">
        <f t="shared" si="9"/>
        <v>38047.518873438763</v>
      </c>
      <c r="Y62" s="35">
        <f t="shared" si="10"/>
        <v>25365.012582292507</v>
      </c>
    </row>
    <row r="63" spans="1:25" x14ac:dyDescent="0.35">
      <c r="A63" t="str">
        <f t="shared" si="11"/>
        <v>CD54</v>
      </c>
      <c r="B63" t="s">
        <v>138</v>
      </c>
      <c r="C63" t="s">
        <v>139</v>
      </c>
      <c r="E63">
        <v>1</v>
      </c>
      <c r="F63">
        <v>195814.10590010037</v>
      </c>
      <c r="G63">
        <v>67189.160119030799</v>
      </c>
      <c r="H63">
        <v>3262</v>
      </c>
      <c r="I63">
        <v>6253</v>
      </c>
      <c r="J63">
        <v>2323</v>
      </c>
      <c r="K63">
        <v>1250</v>
      </c>
      <c r="L63">
        <v>182726.10590010037</v>
      </c>
      <c r="M63">
        <f t="shared" si="12"/>
        <v>0.33699999999999997</v>
      </c>
      <c r="N63" s="19">
        <f t="shared" si="13"/>
        <v>65568.103688333824</v>
      </c>
      <c r="O63" s="19">
        <f t="shared" si="0"/>
        <v>65989.353688333824</v>
      </c>
      <c r="P63" s="22">
        <f t="shared" si="1"/>
        <v>1099.2939999999999</v>
      </c>
      <c r="Q63" s="23">
        <f t="shared" si="2"/>
        <v>2107.261</v>
      </c>
      <c r="R63" s="23">
        <f t="shared" si="3"/>
        <v>782.85099999999989</v>
      </c>
      <c r="S63" s="23">
        <f t="shared" si="4"/>
        <v>61578.697688333821</v>
      </c>
      <c r="T63" s="37">
        <f t="shared" si="5"/>
        <v>421.24999999999994</v>
      </c>
      <c r="U63" s="20">
        <f t="shared" si="6"/>
        <v>31472.689770400233</v>
      </c>
      <c r="V63" s="20">
        <f t="shared" si="7"/>
        <v>34095.413917933591</v>
      </c>
      <c r="W63" s="20">
        <f t="shared" si="8"/>
        <v>7198.8719183037138</v>
      </c>
      <c r="X63" s="35">
        <f t="shared" si="9"/>
        <v>35021.53906201807</v>
      </c>
      <c r="Y63" s="35">
        <f t="shared" si="10"/>
        <v>23347.692708012044</v>
      </c>
    </row>
    <row r="64" spans="1:25" x14ac:dyDescent="0.35">
      <c r="A64" t="str">
        <f t="shared" si="11"/>
        <v>CD54</v>
      </c>
      <c r="B64" t="s">
        <v>140</v>
      </c>
      <c r="C64" t="s">
        <v>141</v>
      </c>
      <c r="E64">
        <v>1</v>
      </c>
      <c r="F64">
        <v>167778.01184190335</v>
      </c>
      <c r="G64">
        <v>57569.21162691636</v>
      </c>
      <c r="H64">
        <v>0</v>
      </c>
      <c r="I64">
        <v>315</v>
      </c>
      <c r="J64">
        <v>0</v>
      </c>
      <c r="K64">
        <v>63</v>
      </c>
      <c r="L64">
        <v>167400.01184190335</v>
      </c>
      <c r="M64">
        <f t="shared" si="12"/>
        <v>0.33699999999999997</v>
      </c>
      <c r="N64" s="19">
        <f t="shared" si="13"/>
        <v>56519.958990721425</v>
      </c>
      <c r="O64" s="19">
        <f t="shared" si="0"/>
        <v>56541.189990721425</v>
      </c>
      <c r="P64" s="22">
        <f t="shared" si="1"/>
        <v>0</v>
      </c>
      <c r="Q64" s="23">
        <f t="shared" si="2"/>
        <v>106.15499999999999</v>
      </c>
      <c r="R64" s="23">
        <f t="shared" si="3"/>
        <v>0</v>
      </c>
      <c r="S64" s="23">
        <f t="shared" si="4"/>
        <v>56413.803990721426</v>
      </c>
      <c r="T64" s="37">
        <f t="shared" si="5"/>
        <v>21.230999999999998</v>
      </c>
      <c r="U64" s="20">
        <f t="shared" si="6"/>
        <v>27129.580315546282</v>
      </c>
      <c r="V64" s="20">
        <f t="shared" si="7"/>
        <v>29390.378675175143</v>
      </c>
      <c r="W64" s="20">
        <f t="shared" si="8"/>
        <v>6205.455438150424</v>
      </c>
      <c r="X64" s="35">
        <f t="shared" si="9"/>
        <v>30188.702131542603</v>
      </c>
      <c r="Y64" s="35">
        <f t="shared" si="10"/>
        <v>20125.801421028402</v>
      </c>
    </row>
    <row r="65" spans="1:25" x14ac:dyDescent="0.35">
      <c r="A65" t="str">
        <f t="shared" si="11"/>
        <v>CD54</v>
      </c>
      <c r="B65" t="s">
        <v>142</v>
      </c>
      <c r="C65" t="s">
        <v>143</v>
      </c>
      <c r="E65">
        <v>1</v>
      </c>
      <c r="F65">
        <v>113511.87016730488</v>
      </c>
      <c r="G65">
        <v>38949.018432679593</v>
      </c>
      <c r="H65">
        <v>0</v>
      </c>
      <c r="I65">
        <v>0</v>
      </c>
      <c r="J65">
        <v>0</v>
      </c>
      <c r="K65">
        <v>0</v>
      </c>
      <c r="L65">
        <v>113511.87016730488</v>
      </c>
      <c r="M65">
        <f t="shared" si="12"/>
        <v>0.33699999999999997</v>
      </c>
      <c r="N65" s="19">
        <f t="shared" si="13"/>
        <v>38253.500246381744</v>
      </c>
      <c r="O65" s="19">
        <f t="shared" si="0"/>
        <v>38253.500246381744</v>
      </c>
      <c r="P65" s="22">
        <f t="shared" si="1"/>
        <v>0</v>
      </c>
      <c r="Q65" s="23">
        <f t="shared" si="2"/>
        <v>0</v>
      </c>
      <c r="R65" s="23">
        <f t="shared" si="3"/>
        <v>0</v>
      </c>
      <c r="S65" s="23">
        <f t="shared" si="4"/>
        <v>38253.500246381744</v>
      </c>
      <c r="T65" s="37">
        <f t="shared" si="5"/>
        <v>0</v>
      </c>
      <c r="U65" s="20">
        <f t="shared" si="6"/>
        <v>18361.680118263237</v>
      </c>
      <c r="V65" s="20">
        <f t="shared" si="7"/>
        <v>19891.820128118507</v>
      </c>
      <c r="W65" s="20">
        <f t="shared" si="8"/>
        <v>4199.9391961902802</v>
      </c>
      <c r="X65" s="35">
        <f t="shared" si="9"/>
        <v>20432.136630114877</v>
      </c>
      <c r="Y65" s="35">
        <f t="shared" si="10"/>
        <v>13621.424420076584</v>
      </c>
    </row>
    <row r="66" spans="1:25" x14ac:dyDescent="0.35">
      <c r="A66" t="str">
        <f t="shared" si="11"/>
        <v>CD61</v>
      </c>
      <c r="B66" t="s">
        <v>144</v>
      </c>
      <c r="C66" t="s">
        <v>145</v>
      </c>
      <c r="E66">
        <v>1</v>
      </c>
      <c r="F66">
        <v>247917.86187707077</v>
      </c>
      <c r="G66">
        <v>85067.379806255994</v>
      </c>
      <c r="H66">
        <v>0</v>
      </c>
      <c r="I66">
        <v>4061</v>
      </c>
      <c r="J66">
        <v>523</v>
      </c>
      <c r="K66">
        <v>812</v>
      </c>
      <c r="L66">
        <v>242521.86187707077</v>
      </c>
      <c r="M66">
        <f t="shared" si="12"/>
        <v>0.33699999999999997</v>
      </c>
      <c r="N66" s="19">
        <f t="shared" si="13"/>
        <v>83274.675452572847</v>
      </c>
      <c r="O66" s="19">
        <f t="shared" ref="O66:O129" si="14">F66*M66</f>
        <v>83548.319452572847</v>
      </c>
      <c r="P66" s="22">
        <f t="shared" ref="P66:P129" si="15">H66*M66</f>
        <v>0</v>
      </c>
      <c r="Q66" s="23">
        <f t="shared" ref="Q66:Q129" si="16">I66*M66</f>
        <v>1368.5569999999998</v>
      </c>
      <c r="R66" s="23">
        <f t="shared" ref="R66:R129" si="17">J66*M66</f>
        <v>176.25099999999998</v>
      </c>
      <c r="S66" s="23">
        <f t="shared" ref="S66:S129" si="18">L66*M66</f>
        <v>81729.867452572842</v>
      </c>
      <c r="T66" s="37">
        <f t="shared" ref="T66:T129" si="19">K66*M66</f>
        <v>273.64399999999995</v>
      </c>
      <c r="U66" s="20">
        <f t="shared" ref="U66:U129" si="20">N66*0.48</f>
        <v>39971.844217234968</v>
      </c>
      <c r="V66" s="20">
        <f t="shared" ref="V66:V129" si="21">N66*0.52</f>
        <v>43302.831235337879</v>
      </c>
      <c r="W66" s="20">
        <f t="shared" ref="W66:W129" si="22">(F66-K66)*0.037</f>
        <v>9142.9168894516188</v>
      </c>
      <c r="X66" s="35">
        <f t="shared" ref="X66:X129" si="23">(F66-K66)*0.18</f>
        <v>44479.05513787274</v>
      </c>
      <c r="Y66" s="35">
        <f t="shared" ref="Y66:Y129" si="24">(F66-K66)*0.12</f>
        <v>29652.703425248492</v>
      </c>
    </row>
    <row r="67" spans="1:25" x14ac:dyDescent="0.35">
      <c r="A67" t="str">
        <f t="shared" ref="A67:A130" si="25">LEFT(C67,2) &amp; LEFT(MID(C67,3,LEN(C67)-2),2)</f>
        <v>CD61</v>
      </c>
      <c r="B67" t="s">
        <v>146</v>
      </c>
      <c r="C67" t="s">
        <v>147</v>
      </c>
      <c r="E67">
        <v>1</v>
      </c>
      <c r="F67">
        <v>605552.37235678267</v>
      </c>
      <c r="G67">
        <v>207781.53402031274</v>
      </c>
      <c r="H67">
        <v>0</v>
      </c>
      <c r="I67">
        <v>18721</v>
      </c>
      <c r="J67">
        <v>11951</v>
      </c>
      <c r="K67">
        <v>3744</v>
      </c>
      <c r="L67">
        <v>571136.37235678267</v>
      </c>
      <c r="M67">
        <f t="shared" ref="M67:M130" si="26">0.037+0.12+0.18</f>
        <v>0.33699999999999997</v>
      </c>
      <c r="N67" s="19">
        <f t="shared" ref="N67:N130" si="27">SUM(P67:S67)</f>
        <v>202809.42148423573</v>
      </c>
      <c r="O67" s="19">
        <f t="shared" si="14"/>
        <v>204071.14948423574</v>
      </c>
      <c r="P67" s="22">
        <f t="shared" si="15"/>
        <v>0</v>
      </c>
      <c r="Q67" s="23">
        <f t="shared" si="16"/>
        <v>6308.976999999999</v>
      </c>
      <c r="R67" s="23">
        <f t="shared" si="17"/>
        <v>4027.4869999999996</v>
      </c>
      <c r="S67" s="23">
        <f t="shared" si="18"/>
        <v>192472.95748423573</v>
      </c>
      <c r="T67" s="37">
        <f t="shared" si="19"/>
        <v>1261.7279999999998</v>
      </c>
      <c r="U67" s="20">
        <f t="shared" si="20"/>
        <v>97348.522312433153</v>
      </c>
      <c r="V67" s="20">
        <f t="shared" si="21"/>
        <v>105460.89917180258</v>
      </c>
      <c r="W67" s="20">
        <f t="shared" si="22"/>
        <v>22266.909777200959</v>
      </c>
      <c r="X67" s="35">
        <f t="shared" si="23"/>
        <v>108325.50702422087</v>
      </c>
      <c r="Y67" s="35">
        <f t="shared" si="24"/>
        <v>72217.004682813917</v>
      </c>
    </row>
    <row r="68" spans="1:25" x14ac:dyDescent="0.35">
      <c r="A68" t="str">
        <f t="shared" si="25"/>
        <v>CD61</v>
      </c>
      <c r="B68" t="s">
        <v>148</v>
      </c>
      <c r="C68" t="s">
        <v>149</v>
      </c>
      <c r="E68">
        <v>1</v>
      </c>
      <c r="F68">
        <v>426735.11711692665</v>
      </c>
      <c r="G68">
        <v>146424.45691328435</v>
      </c>
      <c r="H68">
        <v>0</v>
      </c>
      <c r="I68">
        <v>20570</v>
      </c>
      <c r="J68">
        <v>42015</v>
      </c>
      <c r="K68">
        <v>4114</v>
      </c>
      <c r="L68">
        <v>360036.11711692665</v>
      </c>
      <c r="M68">
        <f t="shared" si="26"/>
        <v>0.33699999999999997</v>
      </c>
      <c r="N68" s="19">
        <f t="shared" si="27"/>
        <v>142423.31646840426</v>
      </c>
      <c r="O68" s="19">
        <f t="shared" si="14"/>
        <v>143809.73446840426</v>
      </c>
      <c r="P68" s="22">
        <f t="shared" si="15"/>
        <v>0</v>
      </c>
      <c r="Q68" s="23">
        <f t="shared" si="16"/>
        <v>6932.0899999999992</v>
      </c>
      <c r="R68" s="23">
        <f t="shared" si="17"/>
        <v>14159.054999999998</v>
      </c>
      <c r="S68" s="23">
        <f t="shared" si="18"/>
        <v>121332.17146840427</v>
      </c>
      <c r="T68" s="37">
        <f t="shared" si="19"/>
        <v>1386.4179999999999</v>
      </c>
      <c r="U68" s="20">
        <f t="shared" si="20"/>
        <v>68363.191904834035</v>
      </c>
      <c r="V68" s="20">
        <f t="shared" si="21"/>
        <v>74060.124563570222</v>
      </c>
      <c r="W68" s="20">
        <f t="shared" si="22"/>
        <v>15636.981333326285</v>
      </c>
      <c r="X68" s="35">
        <f t="shared" si="23"/>
        <v>76071.801081046797</v>
      </c>
      <c r="Y68" s="35">
        <f t="shared" si="24"/>
        <v>50714.534054031195</v>
      </c>
    </row>
    <row r="69" spans="1:25" x14ac:dyDescent="0.35">
      <c r="A69" t="str">
        <f t="shared" si="25"/>
        <v>CD61</v>
      </c>
      <c r="B69" t="s">
        <v>150</v>
      </c>
      <c r="C69" t="s">
        <v>151</v>
      </c>
      <c r="E69">
        <v>1</v>
      </c>
      <c r="F69">
        <v>623240.09806788003</v>
      </c>
      <c r="G69">
        <v>213850.67510430969</v>
      </c>
      <c r="H69">
        <v>0</v>
      </c>
      <c r="I69">
        <v>34881</v>
      </c>
      <c r="J69">
        <v>69929</v>
      </c>
      <c r="K69">
        <v>6976</v>
      </c>
      <c r="L69">
        <v>511454.09806788003</v>
      </c>
      <c r="M69">
        <f t="shared" si="26"/>
        <v>0.33699999999999997</v>
      </c>
      <c r="N69" s="19">
        <f t="shared" si="27"/>
        <v>207681.00104887557</v>
      </c>
      <c r="O69" s="19">
        <f t="shared" si="14"/>
        <v>210031.91304887555</v>
      </c>
      <c r="P69" s="22">
        <f t="shared" si="15"/>
        <v>0</v>
      </c>
      <c r="Q69" s="23">
        <f t="shared" si="16"/>
        <v>11754.896999999999</v>
      </c>
      <c r="R69" s="23">
        <f t="shared" si="17"/>
        <v>23566.072999999997</v>
      </c>
      <c r="S69" s="23">
        <f t="shared" si="18"/>
        <v>172360.03104887556</v>
      </c>
      <c r="T69" s="37">
        <f t="shared" si="19"/>
        <v>2350.9119999999998</v>
      </c>
      <c r="U69" s="20">
        <f t="shared" si="20"/>
        <v>99686.88050346027</v>
      </c>
      <c r="V69" s="20">
        <f t="shared" si="21"/>
        <v>107994.1205454153</v>
      </c>
      <c r="W69" s="20">
        <f t="shared" si="22"/>
        <v>22801.77162851156</v>
      </c>
      <c r="X69" s="35">
        <f t="shared" si="23"/>
        <v>110927.53765221839</v>
      </c>
      <c r="Y69" s="35">
        <f t="shared" si="24"/>
        <v>73951.691768145596</v>
      </c>
    </row>
    <row r="70" spans="1:25" x14ac:dyDescent="0.35">
      <c r="A70" t="str">
        <f t="shared" si="25"/>
        <v>CD61</v>
      </c>
      <c r="B70" t="s">
        <v>152</v>
      </c>
      <c r="C70" t="s">
        <v>153</v>
      </c>
      <c r="E70">
        <v>1</v>
      </c>
      <c r="F70">
        <v>431824.15838897642</v>
      </c>
      <c r="G70">
        <v>148170.64576575931</v>
      </c>
      <c r="H70">
        <v>0</v>
      </c>
      <c r="I70">
        <v>27733</v>
      </c>
      <c r="J70">
        <v>135170</v>
      </c>
      <c r="K70">
        <v>5547</v>
      </c>
      <c r="L70">
        <v>263374.15838897642</v>
      </c>
      <c r="M70">
        <f t="shared" si="26"/>
        <v>0.33699999999999997</v>
      </c>
      <c r="N70" s="19">
        <f t="shared" si="27"/>
        <v>143655.40237708503</v>
      </c>
      <c r="O70" s="19">
        <f t="shared" si="14"/>
        <v>145524.74137708504</v>
      </c>
      <c r="P70" s="22">
        <f t="shared" si="15"/>
        <v>0</v>
      </c>
      <c r="Q70" s="23">
        <f t="shared" si="16"/>
        <v>9346.0209999999988</v>
      </c>
      <c r="R70" s="23">
        <f t="shared" si="17"/>
        <v>45552.289999999994</v>
      </c>
      <c r="S70" s="23">
        <f t="shared" si="18"/>
        <v>88757.091377085046</v>
      </c>
      <c r="T70" s="37">
        <f t="shared" si="19"/>
        <v>1869.3389999999997</v>
      </c>
      <c r="U70" s="20">
        <f t="shared" si="20"/>
        <v>68954.59314100082</v>
      </c>
      <c r="V70" s="20">
        <f t="shared" si="21"/>
        <v>74700.809236084213</v>
      </c>
      <c r="W70" s="20">
        <f t="shared" si="22"/>
        <v>15772.254860392126</v>
      </c>
      <c r="X70" s="35">
        <f t="shared" si="23"/>
        <v>76729.888510015749</v>
      </c>
      <c r="Y70" s="35">
        <f t="shared" si="24"/>
        <v>51153.259006677166</v>
      </c>
    </row>
    <row r="71" spans="1:25" x14ac:dyDescent="0.35">
      <c r="A71" t="str">
        <f t="shared" si="25"/>
        <v>CD61</v>
      </c>
      <c r="B71" t="s">
        <v>154</v>
      </c>
      <c r="C71" t="s">
        <v>155</v>
      </c>
      <c r="E71">
        <v>1</v>
      </c>
      <c r="F71">
        <v>403576.54644505709</v>
      </c>
      <c r="G71">
        <v>138478.11971838397</v>
      </c>
      <c r="H71">
        <v>4823</v>
      </c>
      <c r="I71">
        <v>67218</v>
      </c>
      <c r="J71">
        <v>154755</v>
      </c>
      <c r="K71">
        <v>13443</v>
      </c>
      <c r="L71">
        <v>163337.54644505709</v>
      </c>
      <c r="M71">
        <f t="shared" si="26"/>
        <v>0.33699999999999997</v>
      </c>
      <c r="N71" s="19">
        <f t="shared" si="27"/>
        <v>131475.00515198422</v>
      </c>
      <c r="O71" s="19">
        <f t="shared" si="14"/>
        <v>136005.29615198422</v>
      </c>
      <c r="P71" s="22">
        <f t="shared" si="15"/>
        <v>1625.3509999999999</v>
      </c>
      <c r="Q71" s="23">
        <f t="shared" si="16"/>
        <v>22652.465999999997</v>
      </c>
      <c r="R71" s="23">
        <f t="shared" si="17"/>
        <v>52152.434999999998</v>
      </c>
      <c r="S71" s="23">
        <f t="shared" si="18"/>
        <v>55044.75315198423</v>
      </c>
      <c r="T71" s="37">
        <f t="shared" si="19"/>
        <v>4530.2909999999993</v>
      </c>
      <c r="U71" s="20">
        <f t="shared" si="20"/>
        <v>63108.002472952423</v>
      </c>
      <c r="V71" s="20">
        <f t="shared" si="21"/>
        <v>68367.002679031793</v>
      </c>
      <c r="W71" s="20">
        <f t="shared" si="22"/>
        <v>14434.941218467111</v>
      </c>
      <c r="X71" s="35">
        <f t="shared" si="23"/>
        <v>70224.03836011028</v>
      </c>
      <c r="Y71" s="35">
        <f t="shared" si="24"/>
        <v>46816.025573406849</v>
      </c>
    </row>
    <row r="72" spans="1:25" x14ac:dyDescent="0.35">
      <c r="A72" t="str">
        <f t="shared" si="25"/>
        <v>CD61</v>
      </c>
      <c r="B72" t="s">
        <v>156</v>
      </c>
      <c r="C72" t="s">
        <v>157</v>
      </c>
      <c r="E72">
        <v>1</v>
      </c>
      <c r="F72">
        <v>385770.76301442046</v>
      </c>
      <c r="G72">
        <v>132368.46981105712</v>
      </c>
      <c r="H72">
        <v>58436</v>
      </c>
      <c r="I72">
        <v>29254</v>
      </c>
      <c r="J72">
        <v>119278</v>
      </c>
      <c r="K72">
        <v>5851</v>
      </c>
      <c r="L72">
        <v>172951.76301442046</v>
      </c>
      <c r="M72">
        <f t="shared" si="26"/>
        <v>0.33699999999999997</v>
      </c>
      <c r="N72" s="19">
        <f t="shared" si="27"/>
        <v>128032.96013585967</v>
      </c>
      <c r="O72" s="19">
        <f t="shared" si="14"/>
        <v>130004.74713585968</v>
      </c>
      <c r="P72" s="22">
        <f t="shared" si="15"/>
        <v>19692.931999999997</v>
      </c>
      <c r="Q72" s="23">
        <f t="shared" si="16"/>
        <v>9858.5979999999981</v>
      </c>
      <c r="R72" s="23">
        <f t="shared" si="17"/>
        <v>40196.685999999994</v>
      </c>
      <c r="S72" s="23">
        <f t="shared" si="18"/>
        <v>58284.744135859692</v>
      </c>
      <c r="T72" s="37">
        <f t="shared" si="19"/>
        <v>1971.7869999999998</v>
      </c>
      <c r="U72" s="20">
        <f t="shared" si="20"/>
        <v>61455.820865212641</v>
      </c>
      <c r="V72" s="20">
        <f t="shared" si="21"/>
        <v>66577.139270647036</v>
      </c>
      <c r="W72" s="20">
        <f t="shared" si="22"/>
        <v>14057.031231533556</v>
      </c>
      <c r="X72" s="35">
        <f t="shared" si="23"/>
        <v>68385.557342595683</v>
      </c>
      <c r="Y72" s="35">
        <f t="shared" si="24"/>
        <v>45590.371561730455</v>
      </c>
    </row>
    <row r="73" spans="1:25" x14ac:dyDescent="0.35">
      <c r="A73" t="str">
        <f t="shared" si="25"/>
        <v>CD61</v>
      </c>
      <c r="B73" t="s">
        <v>158</v>
      </c>
      <c r="C73" t="s">
        <v>159</v>
      </c>
      <c r="E73">
        <v>1</v>
      </c>
      <c r="F73">
        <v>175342.50675696574</v>
      </c>
      <c r="G73">
        <v>60164.796136681041</v>
      </c>
      <c r="H73">
        <v>0</v>
      </c>
      <c r="I73">
        <v>15025</v>
      </c>
      <c r="J73">
        <v>41219</v>
      </c>
      <c r="K73">
        <v>3005</v>
      </c>
      <c r="L73">
        <v>116093.50675696574</v>
      </c>
      <c r="M73">
        <f t="shared" si="26"/>
        <v>0.33699999999999997</v>
      </c>
      <c r="N73" s="19">
        <f t="shared" si="27"/>
        <v>58077.739777097449</v>
      </c>
      <c r="O73" s="19">
        <f t="shared" si="14"/>
        <v>59090.424777097447</v>
      </c>
      <c r="P73" s="22">
        <f t="shared" si="15"/>
        <v>0</v>
      </c>
      <c r="Q73" s="23">
        <f t="shared" si="16"/>
        <v>5063.4249999999993</v>
      </c>
      <c r="R73" s="23">
        <f t="shared" si="17"/>
        <v>13890.802999999998</v>
      </c>
      <c r="S73" s="23">
        <f t="shared" si="18"/>
        <v>39123.511777097454</v>
      </c>
      <c r="T73" s="37">
        <f t="shared" si="19"/>
        <v>1012.6849999999999</v>
      </c>
      <c r="U73" s="20">
        <f t="shared" si="20"/>
        <v>27877.315093006775</v>
      </c>
      <c r="V73" s="20">
        <f t="shared" si="21"/>
        <v>30200.424684090674</v>
      </c>
      <c r="W73" s="20">
        <f t="shared" si="22"/>
        <v>6376.4877500077318</v>
      </c>
      <c r="X73" s="35">
        <f t="shared" si="23"/>
        <v>31020.751216253833</v>
      </c>
      <c r="Y73" s="35">
        <f t="shared" si="24"/>
        <v>20680.500810835889</v>
      </c>
    </row>
    <row r="74" spans="1:25" x14ac:dyDescent="0.35">
      <c r="A74" t="str">
        <f t="shared" si="25"/>
        <v>CD61</v>
      </c>
      <c r="B74" t="s">
        <v>160</v>
      </c>
      <c r="C74" t="s">
        <v>161</v>
      </c>
      <c r="E74">
        <v>1</v>
      </c>
      <c r="F74">
        <v>100030.05457889255</v>
      </c>
      <c r="G74">
        <v>34323.039818415644</v>
      </c>
      <c r="H74">
        <v>0</v>
      </c>
      <c r="I74">
        <v>16739</v>
      </c>
      <c r="J74">
        <v>10190</v>
      </c>
      <c r="K74">
        <v>3347</v>
      </c>
      <c r="L74">
        <v>69754.054578892552</v>
      </c>
      <c r="M74">
        <f t="shared" si="26"/>
        <v>0.33699999999999997</v>
      </c>
      <c r="N74" s="19">
        <f t="shared" si="27"/>
        <v>32582.189393086788</v>
      </c>
      <c r="O74" s="19">
        <f t="shared" si="14"/>
        <v>33710.128393086787</v>
      </c>
      <c r="P74" s="22">
        <f t="shared" si="15"/>
        <v>0</v>
      </c>
      <c r="Q74" s="23">
        <f t="shared" si="16"/>
        <v>5641.0429999999997</v>
      </c>
      <c r="R74" s="23">
        <f t="shared" si="17"/>
        <v>3434.0299999999997</v>
      </c>
      <c r="S74" s="23">
        <f t="shared" si="18"/>
        <v>23507.116393086788</v>
      </c>
      <c r="T74" s="37">
        <f t="shared" si="19"/>
        <v>1127.9389999999999</v>
      </c>
      <c r="U74" s="20">
        <f t="shared" si="20"/>
        <v>15639.450908681658</v>
      </c>
      <c r="V74" s="20">
        <f t="shared" si="21"/>
        <v>16942.73848440513</v>
      </c>
      <c r="W74" s="20">
        <f t="shared" si="22"/>
        <v>3577.2730194190244</v>
      </c>
      <c r="X74" s="35">
        <f t="shared" si="23"/>
        <v>17402.949824200659</v>
      </c>
      <c r="Y74" s="35">
        <f t="shared" si="24"/>
        <v>11601.966549467106</v>
      </c>
    </row>
    <row r="75" spans="1:25" x14ac:dyDescent="0.35">
      <c r="A75" t="str">
        <f t="shared" si="25"/>
        <v>CD61</v>
      </c>
      <c r="B75" t="s">
        <v>162</v>
      </c>
      <c r="C75" t="s">
        <v>163</v>
      </c>
      <c r="E75">
        <v>1</v>
      </c>
      <c r="F75">
        <v>148808.82496834185</v>
      </c>
      <c r="G75">
        <v>51060.36626913723</v>
      </c>
      <c r="H75">
        <v>17244</v>
      </c>
      <c r="I75">
        <v>51090</v>
      </c>
      <c r="J75">
        <v>28720</v>
      </c>
      <c r="K75">
        <v>10218</v>
      </c>
      <c r="L75">
        <v>41536.824968341854</v>
      </c>
      <c r="M75">
        <f t="shared" si="26"/>
        <v>0.33699999999999997</v>
      </c>
      <c r="N75" s="19">
        <f t="shared" si="27"/>
        <v>46705.108014331199</v>
      </c>
      <c r="O75" s="19">
        <f t="shared" si="14"/>
        <v>50148.5740143312</v>
      </c>
      <c r="P75" s="22">
        <f t="shared" si="15"/>
        <v>5811.2279999999992</v>
      </c>
      <c r="Q75" s="23">
        <f t="shared" si="16"/>
        <v>17217.329999999998</v>
      </c>
      <c r="R75" s="23">
        <f t="shared" si="17"/>
        <v>9678.64</v>
      </c>
      <c r="S75" s="23">
        <f t="shared" si="18"/>
        <v>13997.910014331204</v>
      </c>
      <c r="T75" s="37">
        <f t="shared" si="19"/>
        <v>3443.4659999999994</v>
      </c>
      <c r="U75" s="20">
        <f t="shared" si="20"/>
        <v>22418.451846878976</v>
      </c>
      <c r="V75" s="20">
        <f t="shared" si="21"/>
        <v>24286.656167452224</v>
      </c>
      <c r="W75" s="20">
        <f t="shared" si="22"/>
        <v>5127.8605238286482</v>
      </c>
      <c r="X75" s="35">
        <f t="shared" si="23"/>
        <v>24946.348494301532</v>
      </c>
      <c r="Y75" s="35">
        <f t="shared" si="24"/>
        <v>16630.898996201024</v>
      </c>
    </row>
    <row r="76" spans="1:25" x14ac:dyDescent="0.35">
      <c r="A76" t="str">
        <f t="shared" si="25"/>
        <v>CD61</v>
      </c>
      <c r="B76" t="s">
        <v>164</v>
      </c>
      <c r="C76" t="s">
        <v>165</v>
      </c>
      <c r="E76">
        <v>1</v>
      </c>
      <c r="F76">
        <v>154949.50096196029</v>
      </c>
      <c r="G76">
        <v>53167.399675529356</v>
      </c>
      <c r="H76">
        <v>0</v>
      </c>
      <c r="I76">
        <v>8916</v>
      </c>
      <c r="J76">
        <v>35820</v>
      </c>
      <c r="K76">
        <v>1783</v>
      </c>
      <c r="L76">
        <v>108430.50096196029</v>
      </c>
      <c r="M76">
        <f t="shared" si="26"/>
        <v>0.33699999999999997</v>
      </c>
      <c r="N76" s="19">
        <f t="shared" si="27"/>
        <v>51617.110824180614</v>
      </c>
      <c r="O76" s="19">
        <f t="shared" si="14"/>
        <v>52217.981824180613</v>
      </c>
      <c r="P76" s="22">
        <f t="shared" si="15"/>
        <v>0</v>
      </c>
      <c r="Q76" s="23">
        <f t="shared" si="16"/>
        <v>3004.6919999999996</v>
      </c>
      <c r="R76" s="23">
        <f t="shared" si="17"/>
        <v>12071.339999999998</v>
      </c>
      <c r="S76" s="23">
        <f t="shared" si="18"/>
        <v>36541.078824180615</v>
      </c>
      <c r="T76" s="37">
        <f t="shared" si="19"/>
        <v>600.87099999999998</v>
      </c>
      <c r="U76" s="20">
        <f t="shared" si="20"/>
        <v>24776.213195606695</v>
      </c>
      <c r="V76" s="20">
        <f t="shared" si="21"/>
        <v>26840.897628573919</v>
      </c>
      <c r="W76" s="20">
        <f t="shared" si="22"/>
        <v>5667.1605355925303</v>
      </c>
      <c r="X76" s="35">
        <f t="shared" si="23"/>
        <v>27569.970173152851</v>
      </c>
      <c r="Y76" s="35">
        <f t="shared" si="24"/>
        <v>18379.980115435235</v>
      </c>
    </row>
    <row r="77" spans="1:25" x14ac:dyDescent="0.35">
      <c r="A77" t="str">
        <f t="shared" si="25"/>
        <v>CD61</v>
      </c>
      <c r="B77" t="s">
        <v>166</v>
      </c>
      <c r="C77" t="s">
        <v>167</v>
      </c>
      <c r="E77">
        <v>1</v>
      </c>
      <c r="F77">
        <v>217172.61746942584</v>
      </c>
      <c r="G77">
        <v>74517.847943327361</v>
      </c>
      <c r="H77">
        <v>0</v>
      </c>
      <c r="I77">
        <v>24824</v>
      </c>
      <c r="J77">
        <v>187385</v>
      </c>
      <c r="K77">
        <v>4964</v>
      </c>
      <c r="L77">
        <v>0</v>
      </c>
      <c r="M77">
        <f t="shared" si="26"/>
        <v>0.33699999999999997</v>
      </c>
      <c r="N77" s="19">
        <f t="shared" si="27"/>
        <v>71514.43299999999</v>
      </c>
      <c r="O77" s="19">
        <f t="shared" si="14"/>
        <v>73187.172087196494</v>
      </c>
      <c r="P77" s="22">
        <f t="shared" si="15"/>
        <v>0</v>
      </c>
      <c r="Q77" s="23">
        <f t="shared" si="16"/>
        <v>8365.6879999999983</v>
      </c>
      <c r="R77" s="23">
        <f t="shared" si="17"/>
        <v>63148.744999999995</v>
      </c>
      <c r="S77" s="23">
        <f t="shared" si="18"/>
        <v>0</v>
      </c>
      <c r="T77" s="37">
        <f t="shared" si="19"/>
        <v>1672.8679999999999</v>
      </c>
      <c r="U77" s="20">
        <f t="shared" si="20"/>
        <v>34326.927839999997</v>
      </c>
      <c r="V77" s="20">
        <f t="shared" si="21"/>
        <v>37187.505159999993</v>
      </c>
      <c r="W77" s="20">
        <f t="shared" si="22"/>
        <v>7851.7188463687553</v>
      </c>
      <c r="X77" s="35">
        <f t="shared" si="23"/>
        <v>38197.551144496647</v>
      </c>
      <c r="Y77" s="35">
        <f t="shared" si="24"/>
        <v>25465.034096331099</v>
      </c>
    </row>
    <row r="78" spans="1:25" x14ac:dyDescent="0.35">
      <c r="A78" t="str">
        <f t="shared" si="25"/>
        <v>CD61</v>
      </c>
      <c r="B78" t="s">
        <v>168</v>
      </c>
      <c r="C78" t="s">
        <v>169</v>
      </c>
      <c r="E78">
        <v>1</v>
      </c>
      <c r="F78">
        <v>117007.75939517297</v>
      </c>
      <c r="G78">
        <v>40148.553369194626</v>
      </c>
      <c r="H78">
        <v>0</v>
      </c>
      <c r="I78">
        <v>8402</v>
      </c>
      <c r="J78">
        <v>4053</v>
      </c>
      <c r="K78">
        <v>1681</v>
      </c>
      <c r="L78">
        <v>102871.75939517297</v>
      </c>
      <c r="M78">
        <f t="shared" si="26"/>
        <v>0.33699999999999997</v>
      </c>
      <c r="N78" s="19">
        <f t="shared" si="27"/>
        <v>38865.117916173287</v>
      </c>
      <c r="O78" s="19">
        <f t="shared" si="14"/>
        <v>39431.614916173283</v>
      </c>
      <c r="P78" s="22">
        <f t="shared" si="15"/>
        <v>0</v>
      </c>
      <c r="Q78" s="23">
        <f t="shared" si="16"/>
        <v>2831.4739999999997</v>
      </c>
      <c r="R78" s="23">
        <f t="shared" si="17"/>
        <v>1365.8609999999999</v>
      </c>
      <c r="S78" s="23">
        <f t="shared" si="18"/>
        <v>34667.782916173288</v>
      </c>
      <c r="T78" s="37">
        <f t="shared" si="19"/>
        <v>566.49699999999996</v>
      </c>
      <c r="U78" s="20">
        <f t="shared" si="20"/>
        <v>18655.256599763175</v>
      </c>
      <c r="V78" s="20">
        <f t="shared" si="21"/>
        <v>20209.861316410112</v>
      </c>
      <c r="W78" s="20">
        <f t="shared" si="22"/>
        <v>4267.0900976213998</v>
      </c>
      <c r="X78" s="35">
        <f t="shared" si="23"/>
        <v>20758.816691131135</v>
      </c>
      <c r="Y78" s="35">
        <f t="shared" si="24"/>
        <v>13839.211127420755</v>
      </c>
    </row>
    <row r="79" spans="1:25" x14ac:dyDescent="0.35">
      <c r="A79" t="str">
        <f t="shared" si="25"/>
        <v>CD61</v>
      </c>
      <c r="B79" t="s">
        <v>170</v>
      </c>
      <c r="C79" t="s">
        <v>171</v>
      </c>
      <c r="E79">
        <v>1</v>
      </c>
      <c r="F79">
        <v>345942.60980137973</v>
      </c>
      <c r="G79">
        <v>118702.34422130251</v>
      </c>
      <c r="H79">
        <v>0</v>
      </c>
      <c r="I79">
        <v>49588</v>
      </c>
      <c r="J79">
        <v>113822</v>
      </c>
      <c r="K79">
        <v>9918</v>
      </c>
      <c r="L79">
        <v>172614.60980137973</v>
      </c>
      <c r="M79">
        <f t="shared" si="26"/>
        <v>0.33699999999999997</v>
      </c>
      <c r="N79" s="19">
        <f t="shared" si="27"/>
        <v>113240.29350306495</v>
      </c>
      <c r="O79" s="19">
        <f t="shared" si="14"/>
        <v>116582.65950306496</v>
      </c>
      <c r="P79" s="22">
        <f t="shared" si="15"/>
        <v>0</v>
      </c>
      <c r="Q79" s="23">
        <f t="shared" si="16"/>
        <v>16711.155999999999</v>
      </c>
      <c r="R79" s="23">
        <f t="shared" si="17"/>
        <v>38358.013999999996</v>
      </c>
      <c r="S79" s="23">
        <f t="shared" si="18"/>
        <v>58171.123503064962</v>
      </c>
      <c r="T79" s="37">
        <f t="shared" si="19"/>
        <v>3342.3659999999995</v>
      </c>
      <c r="U79" s="20">
        <f t="shared" si="20"/>
        <v>54355.340881471173</v>
      </c>
      <c r="V79" s="20">
        <f t="shared" si="21"/>
        <v>58884.95262159378</v>
      </c>
      <c r="W79" s="20">
        <f t="shared" si="22"/>
        <v>12432.91056265105</v>
      </c>
      <c r="X79" s="35">
        <f t="shared" si="23"/>
        <v>60484.429764248351</v>
      </c>
      <c r="Y79" s="35">
        <f t="shared" si="24"/>
        <v>40322.953176165567</v>
      </c>
    </row>
    <row r="80" spans="1:25" x14ac:dyDescent="0.35">
      <c r="A80" t="str">
        <f t="shared" si="25"/>
        <v>CD61</v>
      </c>
      <c r="B80" t="s">
        <v>172</v>
      </c>
      <c r="C80" t="s">
        <v>173</v>
      </c>
      <c r="E80">
        <v>1</v>
      </c>
      <c r="F80">
        <v>262181.91372153262</v>
      </c>
      <c r="G80">
        <v>89961.7650136866</v>
      </c>
      <c r="H80">
        <v>1934</v>
      </c>
      <c r="I80">
        <v>29778</v>
      </c>
      <c r="J80">
        <v>54516</v>
      </c>
      <c r="K80">
        <v>5955</v>
      </c>
      <c r="L80">
        <v>169998.91372153262</v>
      </c>
      <c r="M80">
        <f t="shared" si="26"/>
        <v>0.33699999999999997</v>
      </c>
      <c r="N80" s="19">
        <f t="shared" si="27"/>
        <v>86348.469924156481</v>
      </c>
      <c r="O80" s="19">
        <f t="shared" si="14"/>
        <v>88355.304924156488</v>
      </c>
      <c r="P80" s="22">
        <f t="shared" si="15"/>
        <v>651.75799999999992</v>
      </c>
      <c r="Q80" s="23">
        <f t="shared" si="16"/>
        <v>10035.186</v>
      </c>
      <c r="R80" s="23">
        <f t="shared" si="17"/>
        <v>18371.892</v>
      </c>
      <c r="S80" s="23">
        <f t="shared" si="18"/>
        <v>57289.633924156486</v>
      </c>
      <c r="T80" s="37">
        <f t="shared" si="19"/>
        <v>2006.8349999999998</v>
      </c>
      <c r="U80" s="20">
        <f t="shared" si="20"/>
        <v>41447.265563595109</v>
      </c>
      <c r="V80" s="20">
        <f t="shared" si="21"/>
        <v>44901.204360561373</v>
      </c>
      <c r="W80" s="20">
        <f t="shared" si="22"/>
        <v>9480.3958076967065</v>
      </c>
      <c r="X80" s="35">
        <f t="shared" si="23"/>
        <v>46120.844469875869</v>
      </c>
      <c r="Y80" s="35">
        <f t="shared" si="24"/>
        <v>30747.229646583914</v>
      </c>
    </row>
    <row r="81" spans="1:25" x14ac:dyDescent="0.35">
      <c r="A81" t="str">
        <f t="shared" si="25"/>
        <v>CD61</v>
      </c>
      <c r="B81" t="s">
        <v>174</v>
      </c>
      <c r="C81" t="s">
        <v>175</v>
      </c>
      <c r="E81">
        <v>1</v>
      </c>
      <c r="F81">
        <v>71341.191442085721</v>
      </c>
      <c r="G81">
        <v>24479.10845263712</v>
      </c>
      <c r="H81">
        <v>0</v>
      </c>
      <c r="I81">
        <v>3851</v>
      </c>
      <c r="J81">
        <v>3360</v>
      </c>
      <c r="K81">
        <v>771</v>
      </c>
      <c r="L81">
        <v>63359.191442085721</v>
      </c>
      <c r="M81">
        <f t="shared" si="26"/>
        <v>0.33699999999999997</v>
      </c>
      <c r="N81" s="19">
        <f t="shared" si="27"/>
        <v>23782.154515982886</v>
      </c>
      <c r="O81" s="19">
        <f t="shared" si="14"/>
        <v>24041.981515982887</v>
      </c>
      <c r="P81" s="22">
        <f t="shared" si="15"/>
        <v>0</v>
      </c>
      <c r="Q81" s="23">
        <f t="shared" si="16"/>
        <v>1297.7869999999998</v>
      </c>
      <c r="R81" s="23">
        <f t="shared" si="17"/>
        <v>1132.32</v>
      </c>
      <c r="S81" s="23">
        <f t="shared" si="18"/>
        <v>21352.047515982886</v>
      </c>
      <c r="T81" s="37">
        <f t="shared" si="19"/>
        <v>259.827</v>
      </c>
      <c r="U81" s="20">
        <f t="shared" si="20"/>
        <v>11415.434167671785</v>
      </c>
      <c r="V81" s="20">
        <f t="shared" si="21"/>
        <v>12366.720348311101</v>
      </c>
      <c r="W81" s="20">
        <f t="shared" si="22"/>
        <v>2611.0970833571714</v>
      </c>
      <c r="X81" s="35">
        <f t="shared" si="23"/>
        <v>12702.634459575429</v>
      </c>
      <c r="Y81" s="35">
        <f t="shared" si="24"/>
        <v>8468.4229730502866</v>
      </c>
    </row>
    <row r="82" spans="1:25" x14ac:dyDescent="0.35">
      <c r="A82" t="str">
        <f t="shared" si="25"/>
        <v>CD61</v>
      </c>
      <c r="B82" t="s">
        <v>176</v>
      </c>
      <c r="C82" t="s">
        <v>177</v>
      </c>
      <c r="E82">
        <v>1</v>
      </c>
      <c r="F82">
        <v>174974.93697769134</v>
      </c>
      <c r="G82">
        <v>60038.672920781646</v>
      </c>
      <c r="H82">
        <v>0</v>
      </c>
      <c r="I82">
        <v>4273</v>
      </c>
      <c r="J82">
        <v>180</v>
      </c>
      <c r="K82">
        <v>855</v>
      </c>
      <c r="L82">
        <v>169666.93697769134</v>
      </c>
      <c r="M82">
        <f t="shared" si="26"/>
        <v>0.33699999999999997</v>
      </c>
      <c r="N82" s="19">
        <f t="shared" si="27"/>
        <v>58678.418761481975</v>
      </c>
      <c r="O82" s="19">
        <f t="shared" si="14"/>
        <v>58966.553761481977</v>
      </c>
      <c r="P82" s="22">
        <f t="shared" si="15"/>
        <v>0</v>
      </c>
      <c r="Q82" s="23">
        <f t="shared" si="16"/>
        <v>1440.0009999999997</v>
      </c>
      <c r="R82" s="23">
        <f t="shared" si="17"/>
        <v>60.66</v>
      </c>
      <c r="S82" s="23">
        <f t="shared" si="18"/>
        <v>57177.757761481975</v>
      </c>
      <c r="T82" s="37">
        <f t="shared" si="19"/>
        <v>288.13499999999999</v>
      </c>
      <c r="U82" s="20">
        <f t="shared" si="20"/>
        <v>28165.641005511348</v>
      </c>
      <c r="V82" s="20">
        <f t="shared" si="21"/>
        <v>30512.777755970626</v>
      </c>
      <c r="W82" s="20">
        <f t="shared" si="22"/>
        <v>6442.4376681745789</v>
      </c>
      <c r="X82" s="35">
        <f t="shared" si="23"/>
        <v>31341.58865598444</v>
      </c>
      <c r="Y82" s="35">
        <f t="shared" si="24"/>
        <v>20894.39243732296</v>
      </c>
    </row>
    <row r="83" spans="1:25" x14ac:dyDescent="0.35">
      <c r="A83" t="str">
        <f t="shared" si="25"/>
        <v>CD61</v>
      </c>
      <c r="B83" t="s">
        <v>178</v>
      </c>
      <c r="C83" t="s">
        <v>179</v>
      </c>
      <c r="E83">
        <v>1</v>
      </c>
      <c r="F83">
        <v>245595.22277067625</v>
      </c>
      <c r="G83">
        <v>84270.418984149117</v>
      </c>
      <c r="H83">
        <v>0</v>
      </c>
      <c r="I83">
        <v>24755</v>
      </c>
      <c r="J83">
        <v>15578</v>
      </c>
      <c r="K83">
        <v>4951</v>
      </c>
      <c r="L83">
        <v>200311.22277067625</v>
      </c>
      <c r="M83">
        <f t="shared" si="26"/>
        <v>0.33699999999999997</v>
      </c>
      <c r="N83" s="19">
        <f t="shared" si="27"/>
        <v>81097.103073717881</v>
      </c>
      <c r="O83" s="19">
        <f t="shared" si="14"/>
        <v>82765.590073717889</v>
      </c>
      <c r="P83" s="22">
        <f t="shared" si="15"/>
        <v>0</v>
      </c>
      <c r="Q83" s="23">
        <f t="shared" si="16"/>
        <v>8342.4349999999995</v>
      </c>
      <c r="R83" s="23">
        <f t="shared" si="17"/>
        <v>5249.7859999999991</v>
      </c>
      <c r="S83" s="23">
        <f t="shared" si="18"/>
        <v>67504.88207371789</v>
      </c>
      <c r="T83" s="37">
        <f t="shared" si="19"/>
        <v>1668.4869999999999</v>
      </c>
      <c r="U83" s="20">
        <f t="shared" si="20"/>
        <v>38926.609475384583</v>
      </c>
      <c r="V83" s="20">
        <f t="shared" si="21"/>
        <v>42170.493598333298</v>
      </c>
      <c r="W83" s="20">
        <f t="shared" si="22"/>
        <v>8903.8362425150208</v>
      </c>
      <c r="X83" s="35">
        <f t="shared" si="23"/>
        <v>43315.96009872172</v>
      </c>
      <c r="Y83" s="35">
        <f t="shared" si="24"/>
        <v>28877.306732481149</v>
      </c>
    </row>
    <row r="84" spans="1:25" x14ac:dyDescent="0.35">
      <c r="A84" t="str">
        <f t="shared" si="25"/>
        <v>CD61</v>
      </c>
      <c r="B84" t="s">
        <v>180</v>
      </c>
      <c r="C84" t="s">
        <v>181</v>
      </c>
      <c r="E84">
        <v>1</v>
      </c>
      <c r="F84">
        <v>196538.47250259572</v>
      </c>
      <c r="G84">
        <v>67437.710055799762</v>
      </c>
      <c r="H84">
        <v>0</v>
      </c>
      <c r="I84">
        <v>10162</v>
      </c>
      <c r="J84">
        <v>2570</v>
      </c>
      <c r="K84">
        <v>2033</v>
      </c>
      <c r="L84">
        <v>181773.47250259572</v>
      </c>
      <c r="M84">
        <f t="shared" si="26"/>
        <v>0.33699999999999997</v>
      </c>
      <c r="N84" s="19">
        <f t="shared" si="27"/>
        <v>65548.344233374752</v>
      </c>
      <c r="O84" s="19">
        <f t="shared" si="14"/>
        <v>66233.465233374751</v>
      </c>
      <c r="P84" s="22">
        <f t="shared" si="15"/>
        <v>0</v>
      </c>
      <c r="Q84" s="23">
        <f t="shared" si="16"/>
        <v>3424.5939999999996</v>
      </c>
      <c r="R84" s="23">
        <f t="shared" si="17"/>
        <v>866.08999999999992</v>
      </c>
      <c r="S84" s="23">
        <f t="shared" si="18"/>
        <v>61257.660233374751</v>
      </c>
      <c r="T84" s="37">
        <f t="shared" si="19"/>
        <v>685.12099999999998</v>
      </c>
      <c r="U84" s="20">
        <f t="shared" si="20"/>
        <v>31463.205232019878</v>
      </c>
      <c r="V84" s="20">
        <f t="shared" si="21"/>
        <v>34085.139001354873</v>
      </c>
      <c r="W84" s="20">
        <f t="shared" si="22"/>
        <v>7196.7024825960407</v>
      </c>
      <c r="X84" s="35">
        <f t="shared" si="23"/>
        <v>35010.985050467229</v>
      </c>
      <c r="Y84" s="35">
        <f t="shared" si="24"/>
        <v>23340.656700311483</v>
      </c>
    </row>
    <row r="85" spans="1:25" x14ac:dyDescent="0.35">
      <c r="A85" t="str">
        <f t="shared" si="25"/>
        <v>CD61</v>
      </c>
      <c r="B85" t="s">
        <v>182</v>
      </c>
      <c r="C85" t="s">
        <v>183</v>
      </c>
      <c r="E85">
        <v>1</v>
      </c>
      <c r="F85">
        <v>104054.06450871666</v>
      </c>
      <c r="G85">
        <v>35703.787371063649</v>
      </c>
      <c r="H85">
        <v>0</v>
      </c>
      <c r="I85">
        <v>1208</v>
      </c>
      <c r="J85">
        <v>30885</v>
      </c>
      <c r="K85">
        <v>241</v>
      </c>
      <c r="L85">
        <v>71720.064508716663</v>
      </c>
      <c r="M85">
        <f t="shared" si="26"/>
        <v>0.33699999999999997</v>
      </c>
      <c r="N85" s="19">
        <f t="shared" si="27"/>
        <v>34985.002739437514</v>
      </c>
      <c r="O85" s="19">
        <f t="shared" si="14"/>
        <v>35066.219739437511</v>
      </c>
      <c r="P85" s="22">
        <f t="shared" si="15"/>
        <v>0</v>
      </c>
      <c r="Q85" s="23">
        <f t="shared" si="16"/>
        <v>407.09599999999995</v>
      </c>
      <c r="R85" s="23">
        <f t="shared" si="17"/>
        <v>10408.244999999999</v>
      </c>
      <c r="S85" s="23">
        <f t="shared" si="18"/>
        <v>24169.661739437513</v>
      </c>
      <c r="T85" s="37">
        <f t="shared" si="19"/>
        <v>81.216999999999999</v>
      </c>
      <c r="U85" s="20">
        <f t="shared" si="20"/>
        <v>16792.801314930006</v>
      </c>
      <c r="V85" s="20">
        <f t="shared" si="21"/>
        <v>18192.201424507508</v>
      </c>
      <c r="W85" s="20">
        <f t="shared" si="22"/>
        <v>3841.0833868225163</v>
      </c>
      <c r="X85" s="35">
        <f t="shared" si="23"/>
        <v>18686.351611569</v>
      </c>
      <c r="Y85" s="35">
        <f t="shared" si="24"/>
        <v>12457.567741045999</v>
      </c>
    </row>
    <row r="86" spans="1:25" x14ac:dyDescent="0.35">
      <c r="A86" t="str">
        <f t="shared" si="25"/>
        <v>CD61</v>
      </c>
      <c r="B86" t="s">
        <v>184</v>
      </c>
      <c r="C86" t="s">
        <v>185</v>
      </c>
      <c r="E86">
        <v>1</v>
      </c>
      <c r="F86">
        <v>211897.69808576125</v>
      </c>
      <c r="G86">
        <v>72707.879241354298</v>
      </c>
      <c r="H86">
        <v>0</v>
      </c>
      <c r="I86">
        <v>9041</v>
      </c>
      <c r="J86">
        <v>696</v>
      </c>
      <c r="K86">
        <v>1808</v>
      </c>
      <c r="L86">
        <v>200352.69808576125</v>
      </c>
      <c r="M86">
        <f t="shared" si="26"/>
        <v>0.33699999999999997</v>
      </c>
      <c r="N86" s="19">
        <f t="shared" si="27"/>
        <v>70800.228254901536</v>
      </c>
      <c r="O86" s="19">
        <f t="shared" si="14"/>
        <v>71409.524254901538</v>
      </c>
      <c r="P86" s="22">
        <f t="shared" si="15"/>
        <v>0</v>
      </c>
      <c r="Q86" s="23">
        <f t="shared" si="16"/>
        <v>3046.8169999999996</v>
      </c>
      <c r="R86" s="23">
        <f t="shared" si="17"/>
        <v>234.55199999999996</v>
      </c>
      <c r="S86" s="23">
        <f t="shared" si="18"/>
        <v>67518.85925490153</v>
      </c>
      <c r="T86" s="37">
        <f t="shared" si="19"/>
        <v>609.29599999999994</v>
      </c>
      <c r="U86" s="20">
        <f t="shared" si="20"/>
        <v>33984.109562352736</v>
      </c>
      <c r="V86" s="20">
        <f t="shared" si="21"/>
        <v>36816.1186925488</v>
      </c>
      <c r="W86" s="20">
        <f t="shared" si="22"/>
        <v>7773.3188291731658</v>
      </c>
      <c r="X86" s="35">
        <f t="shared" si="23"/>
        <v>37816.145655437023</v>
      </c>
      <c r="Y86" s="35">
        <f t="shared" si="24"/>
        <v>25210.763770291349</v>
      </c>
    </row>
    <row r="87" spans="1:25" x14ac:dyDescent="0.35">
      <c r="A87" t="str">
        <f t="shared" si="25"/>
        <v>CD61</v>
      </c>
      <c r="B87" t="s">
        <v>186</v>
      </c>
      <c r="C87" t="s">
        <v>187</v>
      </c>
      <c r="E87">
        <v>1</v>
      </c>
      <c r="F87">
        <v>183330.24182365782</v>
      </c>
      <c r="G87">
        <v>62905.605885383098</v>
      </c>
      <c r="H87">
        <v>0</v>
      </c>
      <c r="I87">
        <v>14511</v>
      </c>
      <c r="J87">
        <v>2920</v>
      </c>
      <c r="K87">
        <v>2902</v>
      </c>
      <c r="L87">
        <v>162997.24182365782</v>
      </c>
      <c r="M87">
        <f t="shared" si="26"/>
        <v>0.33699999999999997</v>
      </c>
      <c r="N87" s="19">
        <f t="shared" si="27"/>
        <v>60804.317494572679</v>
      </c>
      <c r="O87" s="19">
        <f t="shared" si="14"/>
        <v>61782.291494572681</v>
      </c>
      <c r="P87" s="22">
        <f t="shared" si="15"/>
        <v>0</v>
      </c>
      <c r="Q87" s="23">
        <f t="shared" si="16"/>
        <v>4890.2069999999994</v>
      </c>
      <c r="R87" s="23">
        <f t="shared" si="17"/>
        <v>984.03999999999985</v>
      </c>
      <c r="S87" s="23">
        <f t="shared" si="18"/>
        <v>54930.070494572683</v>
      </c>
      <c r="T87" s="37">
        <f t="shared" si="19"/>
        <v>977.97399999999993</v>
      </c>
      <c r="U87" s="20">
        <f t="shared" si="20"/>
        <v>29186.072397394884</v>
      </c>
      <c r="V87" s="20">
        <f t="shared" si="21"/>
        <v>31618.245097177794</v>
      </c>
      <c r="W87" s="20">
        <f t="shared" si="22"/>
        <v>6675.8449474753388</v>
      </c>
      <c r="X87" s="35">
        <f t="shared" si="23"/>
        <v>32477.083528258408</v>
      </c>
      <c r="Y87" s="35">
        <f t="shared" si="24"/>
        <v>21651.389018838938</v>
      </c>
    </row>
    <row r="88" spans="1:25" x14ac:dyDescent="0.35">
      <c r="A88" t="str">
        <f t="shared" si="25"/>
        <v>CD61</v>
      </c>
      <c r="B88" t="s">
        <v>188</v>
      </c>
      <c r="C88" t="s">
        <v>189</v>
      </c>
      <c r="E88">
        <v>1</v>
      </c>
      <c r="F88">
        <v>244242.16408432674</v>
      </c>
      <c r="G88">
        <v>83806.147647262085</v>
      </c>
      <c r="H88">
        <v>0</v>
      </c>
      <c r="I88">
        <v>17875</v>
      </c>
      <c r="J88">
        <v>13943</v>
      </c>
      <c r="K88">
        <v>3575</v>
      </c>
      <c r="L88">
        <v>208849.16408432674</v>
      </c>
      <c r="M88">
        <f t="shared" si="26"/>
        <v>0.33699999999999997</v>
      </c>
      <c r="N88" s="19">
        <f t="shared" si="27"/>
        <v>81104.834296418107</v>
      </c>
      <c r="O88" s="19">
        <f t="shared" si="14"/>
        <v>82309.609296418101</v>
      </c>
      <c r="P88" s="22">
        <f t="shared" si="15"/>
        <v>0</v>
      </c>
      <c r="Q88" s="23">
        <f t="shared" si="16"/>
        <v>6023.8749999999991</v>
      </c>
      <c r="R88" s="23">
        <f t="shared" si="17"/>
        <v>4698.7909999999993</v>
      </c>
      <c r="S88" s="23">
        <f t="shared" si="18"/>
        <v>70382.168296418109</v>
      </c>
      <c r="T88" s="37">
        <f t="shared" si="19"/>
        <v>1204.7749999999999</v>
      </c>
      <c r="U88" s="20">
        <f t="shared" si="20"/>
        <v>38930.320462280688</v>
      </c>
      <c r="V88" s="20">
        <f t="shared" si="21"/>
        <v>42174.513834137419</v>
      </c>
      <c r="W88" s="20">
        <f t="shared" si="22"/>
        <v>8904.6850711200896</v>
      </c>
      <c r="X88" s="35">
        <f t="shared" si="23"/>
        <v>43320.089535178813</v>
      </c>
      <c r="Y88" s="35">
        <f t="shared" si="24"/>
        <v>28880.059690119208</v>
      </c>
    </row>
    <row r="89" spans="1:25" x14ac:dyDescent="0.35">
      <c r="A89" t="str">
        <f t="shared" si="25"/>
        <v>CD61</v>
      </c>
      <c r="B89" t="s">
        <v>190</v>
      </c>
      <c r="C89" t="s">
        <v>191</v>
      </c>
      <c r="E89">
        <v>1</v>
      </c>
      <c r="F89">
        <v>331073.19816098304</v>
      </c>
      <c r="G89">
        <v>113600.24355807404</v>
      </c>
      <c r="H89">
        <v>0</v>
      </c>
      <c r="I89">
        <v>15628</v>
      </c>
      <c r="J89">
        <v>19465</v>
      </c>
      <c r="K89">
        <v>3126</v>
      </c>
      <c r="L89">
        <v>292854.19816098304</v>
      </c>
      <c r="M89">
        <f t="shared" si="26"/>
        <v>0.33699999999999997</v>
      </c>
      <c r="N89" s="19">
        <f t="shared" si="27"/>
        <v>110518.20578025127</v>
      </c>
      <c r="O89" s="19">
        <f t="shared" si="14"/>
        <v>111571.66778025127</v>
      </c>
      <c r="P89" s="22">
        <f t="shared" si="15"/>
        <v>0</v>
      </c>
      <c r="Q89" s="23">
        <f t="shared" si="16"/>
        <v>5266.6359999999995</v>
      </c>
      <c r="R89" s="23">
        <f t="shared" si="17"/>
        <v>6559.704999999999</v>
      </c>
      <c r="S89" s="23">
        <f t="shared" si="18"/>
        <v>98691.864780251271</v>
      </c>
      <c r="T89" s="37">
        <f t="shared" si="19"/>
        <v>1053.462</v>
      </c>
      <c r="U89" s="20">
        <f t="shared" si="20"/>
        <v>53048.738774520607</v>
      </c>
      <c r="V89" s="20">
        <f t="shared" si="21"/>
        <v>57469.467005730665</v>
      </c>
      <c r="W89" s="20">
        <f t="shared" si="22"/>
        <v>12134.046331956371</v>
      </c>
      <c r="X89" s="35">
        <f t="shared" si="23"/>
        <v>59030.495668976946</v>
      </c>
      <c r="Y89" s="35">
        <f t="shared" si="24"/>
        <v>39353.663779317962</v>
      </c>
    </row>
    <row r="90" spans="1:25" x14ac:dyDescent="0.35">
      <c r="A90" t="str">
        <f t="shared" si="25"/>
        <v>CD61</v>
      </c>
      <c r="B90" t="s">
        <v>192</v>
      </c>
      <c r="C90" t="s">
        <v>193</v>
      </c>
      <c r="E90">
        <v>1</v>
      </c>
      <c r="F90">
        <v>119680.38521622967</v>
      </c>
      <c r="G90">
        <v>41065.604178194299</v>
      </c>
      <c r="H90">
        <v>0</v>
      </c>
      <c r="I90">
        <v>35</v>
      </c>
      <c r="J90">
        <v>0</v>
      </c>
      <c r="K90">
        <v>7</v>
      </c>
      <c r="L90">
        <v>119638.38521622967</v>
      </c>
      <c r="M90">
        <f t="shared" si="26"/>
        <v>0.33699999999999997</v>
      </c>
      <c r="N90" s="19">
        <f t="shared" si="27"/>
        <v>40329.93081786939</v>
      </c>
      <c r="O90" s="19">
        <f t="shared" si="14"/>
        <v>40332.289817869394</v>
      </c>
      <c r="P90" s="22">
        <f t="shared" si="15"/>
        <v>0</v>
      </c>
      <c r="Q90" s="23">
        <f t="shared" si="16"/>
        <v>11.794999999999998</v>
      </c>
      <c r="R90" s="23">
        <f t="shared" si="17"/>
        <v>0</v>
      </c>
      <c r="S90" s="23">
        <f t="shared" si="18"/>
        <v>40318.135817869392</v>
      </c>
      <c r="T90" s="37">
        <f t="shared" si="19"/>
        <v>2.359</v>
      </c>
      <c r="U90" s="20">
        <f t="shared" si="20"/>
        <v>19358.366792577308</v>
      </c>
      <c r="V90" s="20">
        <f t="shared" si="21"/>
        <v>20971.564025292082</v>
      </c>
      <c r="W90" s="20">
        <f t="shared" si="22"/>
        <v>4427.9152530004976</v>
      </c>
      <c r="X90" s="35">
        <f t="shared" si="23"/>
        <v>21541.209338921341</v>
      </c>
      <c r="Y90" s="35">
        <f t="shared" si="24"/>
        <v>14360.806225947559</v>
      </c>
    </row>
    <row r="91" spans="1:25" x14ac:dyDescent="0.35">
      <c r="A91" t="str">
        <f t="shared" si="25"/>
        <v>CD61</v>
      </c>
      <c r="B91" t="s">
        <v>194</v>
      </c>
      <c r="C91" t="s">
        <v>195</v>
      </c>
      <c r="E91">
        <v>1</v>
      </c>
      <c r="F91">
        <v>376622.54568332218</v>
      </c>
      <c r="G91">
        <v>129229.46694792101</v>
      </c>
      <c r="H91">
        <v>0</v>
      </c>
      <c r="I91">
        <v>15028</v>
      </c>
      <c r="J91">
        <v>5426</v>
      </c>
      <c r="K91">
        <v>3006</v>
      </c>
      <c r="L91">
        <v>353162.54568332218</v>
      </c>
      <c r="M91">
        <f t="shared" si="26"/>
        <v>0.33699999999999997</v>
      </c>
      <c r="N91" s="19">
        <f t="shared" si="27"/>
        <v>125908.77589527957</v>
      </c>
      <c r="O91" s="19">
        <f t="shared" si="14"/>
        <v>126921.79789527957</v>
      </c>
      <c r="P91" s="22">
        <f t="shared" si="15"/>
        <v>0</v>
      </c>
      <c r="Q91" s="23">
        <f t="shared" si="16"/>
        <v>5064.4359999999997</v>
      </c>
      <c r="R91" s="23">
        <f t="shared" si="17"/>
        <v>1828.5619999999999</v>
      </c>
      <c r="S91" s="23">
        <f t="shared" si="18"/>
        <v>119015.77789527956</v>
      </c>
      <c r="T91" s="37">
        <f t="shared" si="19"/>
        <v>1013.0219999999999</v>
      </c>
      <c r="U91" s="20">
        <f t="shared" si="20"/>
        <v>60436.212429734194</v>
      </c>
      <c r="V91" s="20">
        <f t="shared" si="21"/>
        <v>65472.563465545376</v>
      </c>
      <c r="W91" s="20">
        <f t="shared" si="22"/>
        <v>13823.812190282921</v>
      </c>
      <c r="X91" s="35">
        <f t="shared" si="23"/>
        <v>67250.97822299799</v>
      </c>
      <c r="Y91" s="35">
        <f t="shared" si="24"/>
        <v>44833.985481998658</v>
      </c>
    </row>
    <row r="92" spans="1:25" x14ac:dyDescent="0.35">
      <c r="A92" t="str">
        <f t="shared" si="25"/>
        <v>CD61</v>
      </c>
      <c r="B92" t="s">
        <v>196</v>
      </c>
      <c r="C92" t="s">
        <v>197</v>
      </c>
      <c r="E92">
        <v>1</v>
      </c>
      <c r="F92">
        <v>311396.07428233209</v>
      </c>
      <c r="G92">
        <v>106848.48570647583</v>
      </c>
      <c r="H92">
        <v>0</v>
      </c>
      <c r="I92">
        <v>12057</v>
      </c>
      <c r="J92">
        <v>600</v>
      </c>
      <c r="K92">
        <v>2411</v>
      </c>
      <c r="L92">
        <v>296328.07428233209</v>
      </c>
      <c r="M92">
        <f t="shared" si="26"/>
        <v>0.33699999999999997</v>
      </c>
      <c r="N92" s="19">
        <f t="shared" si="27"/>
        <v>104127.9700331459</v>
      </c>
      <c r="O92" s="19">
        <f t="shared" si="14"/>
        <v>104940.4770331459</v>
      </c>
      <c r="P92" s="22">
        <f t="shared" si="15"/>
        <v>0</v>
      </c>
      <c r="Q92" s="23">
        <f t="shared" si="16"/>
        <v>4063.2089999999994</v>
      </c>
      <c r="R92" s="23">
        <f t="shared" si="17"/>
        <v>202.2</v>
      </c>
      <c r="S92" s="23">
        <f t="shared" si="18"/>
        <v>99862.561033145903</v>
      </c>
      <c r="T92" s="37">
        <f t="shared" si="19"/>
        <v>812.50699999999995</v>
      </c>
      <c r="U92" s="20">
        <f t="shared" si="20"/>
        <v>49981.425615910033</v>
      </c>
      <c r="V92" s="20">
        <f t="shared" si="21"/>
        <v>54146.544417235869</v>
      </c>
      <c r="W92" s="20">
        <f t="shared" si="22"/>
        <v>11432.447748446286</v>
      </c>
      <c r="X92" s="35">
        <f t="shared" si="23"/>
        <v>55617.313370819771</v>
      </c>
      <c r="Y92" s="35">
        <f t="shared" si="24"/>
        <v>37078.208913879847</v>
      </c>
    </row>
    <row r="93" spans="1:25" x14ac:dyDescent="0.35">
      <c r="A93" t="str">
        <f t="shared" si="25"/>
        <v>CD61</v>
      </c>
      <c r="B93" t="s">
        <v>198</v>
      </c>
      <c r="C93" t="s">
        <v>199</v>
      </c>
      <c r="E93">
        <v>1</v>
      </c>
      <c r="F93">
        <v>149106.89977795849</v>
      </c>
      <c r="G93">
        <v>51162.643865629681</v>
      </c>
      <c r="H93">
        <v>0</v>
      </c>
      <c r="I93">
        <v>33308</v>
      </c>
      <c r="J93">
        <v>69499</v>
      </c>
      <c r="K93">
        <v>6662</v>
      </c>
      <c r="L93">
        <v>39637.89977795849</v>
      </c>
      <c r="M93">
        <f t="shared" si="26"/>
        <v>0.33699999999999997</v>
      </c>
      <c r="N93" s="19">
        <f t="shared" si="27"/>
        <v>48003.931225172004</v>
      </c>
      <c r="O93" s="19">
        <f t="shared" si="14"/>
        <v>50249.025225172009</v>
      </c>
      <c r="P93" s="22">
        <f t="shared" si="15"/>
        <v>0</v>
      </c>
      <c r="Q93" s="23">
        <f t="shared" si="16"/>
        <v>11224.795999999998</v>
      </c>
      <c r="R93" s="23">
        <f t="shared" si="17"/>
        <v>23421.162999999997</v>
      </c>
      <c r="S93" s="23">
        <f t="shared" si="18"/>
        <v>13357.97222517201</v>
      </c>
      <c r="T93" s="37">
        <f t="shared" si="19"/>
        <v>2245.0939999999996</v>
      </c>
      <c r="U93" s="20">
        <f t="shared" si="20"/>
        <v>23041.886988082562</v>
      </c>
      <c r="V93" s="20">
        <f t="shared" si="21"/>
        <v>24962.044237089442</v>
      </c>
      <c r="W93" s="20">
        <f t="shared" si="22"/>
        <v>5270.4612917844643</v>
      </c>
      <c r="X93" s="35">
        <f t="shared" si="23"/>
        <v>25640.081960032527</v>
      </c>
      <c r="Y93" s="35">
        <f t="shared" si="24"/>
        <v>17093.387973355017</v>
      </c>
    </row>
    <row r="94" spans="1:25" x14ac:dyDescent="0.35">
      <c r="A94" t="str">
        <f t="shared" si="25"/>
        <v>CD61</v>
      </c>
      <c r="B94" t="s">
        <v>200</v>
      </c>
      <c r="C94" t="s">
        <v>201</v>
      </c>
      <c r="E94">
        <v>1</v>
      </c>
      <c r="F94">
        <v>181617.14895715343</v>
      </c>
      <c r="G94">
        <v>62317.797002170897</v>
      </c>
      <c r="H94">
        <v>0</v>
      </c>
      <c r="I94">
        <v>1228</v>
      </c>
      <c r="J94">
        <v>77662</v>
      </c>
      <c r="K94">
        <v>246</v>
      </c>
      <c r="L94">
        <v>102481.14895715343</v>
      </c>
      <c r="M94">
        <f t="shared" si="26"/>
        <v>0.33699999999999997</v>
      </c>
      <c r="N94" s="19">
        <f t="shared" si="27"/>
        <v>61122.077198560699</v>
      </c>
      <c r="O94" s="19">
        <f t="shared" si="14"/>
        <v>61204.979198560701</v>
      </c>
      <c r="P94" s="22">
        <f t="shared" si="15"/>
        <v>0</v>
      </c>
      <c r="Q94" s="23">
        <f t="shared" si="16"/>
        <v>413.83599999999996</v>
      </c>
      <c r="R94" s="23">
        <f t="shared" si="17"/>
        <v>26172.093999999997</v>
      </c>
      <c r="S94" s="23">
        <f t="shared" si="18"/>
        <v>34536.147198560706</v>
      </c>
      <c r="T94" s="37">
        <f t="shared" si="19"/>
        <v>82.901999999999987</v>
      </c>
      <c r="U94" s="20">
        <f t="shared" si="20"/>
        <v>29338.597055309136</v>
      </c>
      <c r="V94" s="20">
        <f t="shared" si="21"/>
        <v>31783.480143251563</v>
      </c>
      <c r="W94" s="20">
        <f t="shared" si="22"/>
        <v>6710.732511414677</v>
      </c>
      <c r="X94" s="35">
        <f t="shared" si="23"/>
        <v>32646.806812287618</v>
      </c>
      <c r="Y94" s="35">
        <f t="shared" si="24"/>
        <v>21764.537874858412</v>
      </c>
    </row>
    <row r="95" spans="1:25" x14ac:dyDescent="0.35">
      <c r="A95" t="str">
        <f t="shared" si="25"/>
        <v>CD61</v>
      </c>
      <c r="B95" t="s">
        <v>202</v>
      </c>
      <c r="C95" t="s">
        <v>203</v>
      </c>
      <c r="E95">
        <v>1</v>
      </c>
      <c r="F95">
        <v>379872.9007702088</v>
      </c>
      <c r="G95">
        <v>130344.75242427964</v>
      </c>
      <c r="H95">
        <v>6541</v>
      </c>
      <c r="I95">
        <v>24023</v>
      </c>
      <c r="J95">
        <v>95200</v>
      </c>
      <c r="K95">
        <v>4805</v>
      </c>
      <c r="L95">
        <v>249303.9007702088</v>
      </c>
      <c r="M95">
        <f t="shared" si="26"/>
        <v>0.33699999999999997</v>
      </c>
      <c r="N95" s="19">
        <f t="shared" si="27"/>
        <v>126397.88255956036</v>
      </c>
      <c r="O95" s="19">
        <f t="shared" si="14"/>
        <v>128017.16755956036</v>
      </c>
      <c r="P95" s="22">
        <f t="shared" si="15"/>
        <v>2204.3169999999996</v>
      </c>
      <c r="Q95" s="23">
        <f t="shared" si="16"/>
        <v>8095.7509999999993</v>
      </c>
      <c r="R95" s="23">
        <f t="shared" si="17"/>
        <v>32082.399999999998</v>
      </c>
      <c r="S95" s="23">
        <f t="shared" si="18"/>
        <v>84015.414559560362</v>
      </c>
      <c r="T95" s="37">
        <f t="shared" si="19"/>
        <v>1619.2849999999999</v>
      </c>
      <c r="U95" s="20">
        <f t="shared" si="20"/>
        <v>60670.983628588969</v>
      </c>
      <c r="V95" s="20">
        <f t="shared" si="21"/>
        <v>65726.898930971394</v>
      </c>
      <c r="W95" s="20">
        <f t="shared" si="22"/>
        <v>13877.512328497725</v>
      </c>
      <c r="X95" s="35">
        <f t="shared" si="23"/>
        <v>67512.222138637575</v>
      </c>
      <c r="Y95" s="35">
        <f t="shared" si="24"/>
        <v>45008.148092425057</v>
      </c>
    </row>
    <row r="96" spans="1:25" x14ac:dyDescent="0.35">
      <c r="A96" t="str">
        <f t="shared" si="25"/>
        <v>CD61</v>
      </c>
      <c r="B96" t="s">
        <v>204</v>
      </c>
      <c r="C96" t="s">
        <v>205</v>
      </c>
      <c r="E96">
        <v>1</v>
      </c>
      <c r="F96">
        <v>280745.44350807666</v>
      </c>
      <c r="G96">
        <v>96331.418361534961</v>
      </c>
      <c r="H96">
        <v>24161</v>
      </c>
      <c r="I96">
        <v>29978</v>
      </c>
      <c r="J96">
        <v>154622</v>
      </c>
      <c r="K96">
        <v>5995</v>
      </c>
      <c r="L96">
        <v>65989.443508076656</v>
      </c>
      <c r="M96">
        <f t="shared" si="26"/>
        <v>0.33699999999999997</v>
      </c>
      <c r="N96" s="19">
        <f t="shared" si="27"/>
        <v>92590.899462221831</v>
      </c>
      <c r="O96" s="19">
        <f t="shared" si="14"/>
        <v>94611.214462221818</v>
      </c>
      <c r="P96" s="22">
        <f t="shared" si="15"/>
        <v>8142.2569999999996</v>
      </c>
      <c r="Q96" s="23">
        <f t="shared" si="16"/>
        <v>10102.585999999999</v>
      </c>
      <c r="R96" s="23">
        <f t="shared" si="17"/>
        <v>52107.613999999994</v>
      </c>
      <c r="S96" s="23">
        <f t="shared" si="18"/>
        <v>22238.442462221832</v>
      </c>
      <c r="T96" s="37">
        <f t="shared" si="19"/>
        <v>2020.3149999999998</v>
      </c>
      <c r="U96" s="20">
        <f t="shared" si="20"/>
        <v>44443.631741866477</v>
      </c>
      <c r="V96" s="20">
        <f t="shared" si="21"/>
        <v>48147.267720355354</v>
      </c>
      <c r="W96" s="20">
        <f t="shared" si="22"/>
        <v>10165.766409798836</v>
      </c>
      <c r="X96" s="35">
        <f t="shared" si="23"/>
        <v>49455.079831453797</v>
      </c>
      <c r="Y96" s="35">
        <f t="shared" si="24"/>
        <v>32970.053220969196</v>
      </c>
    </row>
    <row r="97" spans="1:25" x14ac:dyDescent="0.35">
      <c r="A97" t="str">
        <f t="shared" si="25"/>
        <v>CD61</v>
      </c>
      <c r="B97" t="s">
        <v>206</v>
      </c>
      <c r="C97" t="s">
        <v>207</v>
      </c>
      <c r="E97">
        <v>1</v>
      </c>
      <c r="F97">
        <v>279951.69373415381</v>
      </c>
      <c r="G97">
        <v>96059.06116638094</v>
      </c>
      <c r="H97">
        <v>0</v>
      </c>
      <c r="I97">
        <v>2856</v>
      </c>
      <c r="J97">
        <v>57739</v>
      </c>
      <c r="K97">
        <v>571</v>
      </c>
      <c r="L97">
        <v>218785.69373415381</v>
      </c>
      <c r="M97">
        <f t="shared" si="26"/>
        <v>0.33699999999999997</v>
      </c>
      <c r="N97" s="19">
        <f t="shared" si="27"/>
        <v>94151.293788409821</v>
      </c>
      <c r="O97" s="19">
        <f t="shared" si="14"/>
        <v>94343.720788409832</v>
      </c>
      <c r="P97" s="22">
        <f t="shared" si="15"/>
        <v>0</v>
      </c>
      <c r="Q97" s="23">
        <f t="shared" si="16"/>
        <v>962.47199999999987</v>
      </c>
      <c r="R97" s="23">
        <f t="shared" si="17"/>
        <v>19458.042999999998</v>
      </c>
      <c r="S97" s="23">
        <f t="shared" si="18"/>
        <v>73730.778788409822</v>
      </c>
      <c r="T97" s="37">
        <f t="shared" si="19"/>
        <v>192.42699999999999</v>
      </c>
      <c r="U97" s="20">
        <f t="shared" si="20"/>
        <v>45192.621018436716</v>
      </c>
      <c r="V97" s="20">
        <f t="shared" si="21"/>
        <v>48958.672769973105</v>
      </c>
      <c r="W97" s="20">
        <f t="shared" si="22"/>
        <v>10337.085668163691</v>
      </c>
      <c r="X97" s="35">
        <f t="shared" si="23"/>
        <v>50288.524872147682</v>
      </c>
      <c r="Y97" s="35">
        <f t="shared" si="24"/>
        <v>33525.683248098459</v>
      </c>
    </row>
    <row r="98" spans="1:25" x14ac:dyDescent="0.35">
      <c r="A98" t="str">
        <f t="shared" si="25"/>
        <v>CD61</v>
      </c>
      <c r="B98" t="s">
        <v>208</v>
      </c>
      <c r="C98" t="s">
        <v>209</v>
      </c>
      <c r="E98">
        <v>1</v>
      </c>
      <c r="F98">
        <v>256415.50581751709</v>
      </c>
      <c r="G98">
        <v>87983.153196148764</v>
      </c>
      <c r="H98">
        <v>0</v>
      </c>
      <c r="I98">
        <v>574</v>
      </c>
      <c r="J98">
        <v>87522</v>
      </c>
      <c r="K98">
        <v>115</v>
      </c>
      <c r="L98">
        <v>168204.50581751709</v>
      </c>
      <c r="M98">
        <f t="shared" si="26"/>
        <v>0.33699999999999997</v>
      </c>
      <c r="N98" s="19">
        <f t="shared" si="27"/>
        <v>86373.270460503249</v>
      </c>
      <c r="O98" s="19">
        <f t="shared" si="14"/>
        <v>86412.025460503253</v>
      </c>
      <c r="P98" s="22">
        <f t="shared" si="15"/>
        <v>0</v>
      </c>
      <c r="Q98" s="23">
        <f t="shared" si="16"/>
        <v>193.43799999999999</v>
      </c>
      <c r="R98" s="23">
        <f t="shared" si="17"/>
        <v>29494.913999999997</v>
      </c>
      <c r="S98" s="23">
        <f t="shared" si="18"/>
        <v>56684.91846050325</v>
      </c>
      <c r="T98" s="37">
        <f t="shared" si="19"/>
        <v>38.754999999999995</v>
      </c>
      <c r="U98" s="20">
        <f t="shared" si="20"/>
        <v>41459.169821041556</v>
      </c>
      <c r="V98" s="20">
        <f t="shared" si="21"/>
        <v>44914.100639461692</v>
      </c>
      <c r="W98" s="20">
        <f t="shared" si="22"/>
        <v>9483.1187152481325</v>
      </c>
      <c r="X98" s="35">
        <f t="shared" si="23"/>
        <v>46134.091047153073</v>
      </c>
      <c r="Y98" s="35">
        <f t="shared" si="24"/>
        <v>30756.06069810205</v>
      </c>
    </row>
    <row r="99" spans="1:25" x14ac:dyDescent="0.35">
      <c r="A99" t="str">
        <f t="shared" si="25"/>
        <v>CD62</v>
      </c>
      <c r="B99" t="s">
        <v>210</v>
      </c>
      <c r="C99" t="s">
        <v>211</v>
      </c>
      <c r="E99">
        <v>1</v>
      </c>
      <c r="F99">
        <v>156765.82037259603</v>
      </c>
      <c r="G99">
        <v>53790.628401302405</v>
      </c>
      <c r="H99">
        <v>0</v>
      </c>
      <c r="I99">
        <v>5414</v>
      </c>
      <c r="J99">
        <v>208</v>
      </c>
      <c r="K99">
        <v>1083</v>
      </c>
      <c r="L99">
        <v>150060.82037259603</v>
      </c>
      <c r="M99">
        <f t="shared" si="26"/>
        <v>0.33699999999999997</v>
      </c>
      <c r="N99" s="19">
        <f t="shared" si="27"/>
        <v>52465.11046556486</v>
      </c>
      <c r="O99" s="19">
        <f t="shared" si="14"/>
        <v>52830.081465564857</v>
      </c>
      <c r="P99" s="22">
        <f t="shared" si="15"/>
        <v>0</v>
      </c>
      <c r="Q99" s="23">
        <f t="shared" si="16"/>
        <v>1824.5179999999998</v>
      </c>
      <c r="R99" s="23">
        <f t="shared" si="17"/>
        <v>70.095999999999989</v>
      </c>
      <c r="S99" s="23">
        <f t="shared" si="18"/>
        <v>50570.496465564858</v>
      </c>
      <c r="T99" s="37">
        <f t="shared" si="19"/>
        <v>364.97099999999995</v>
      </c>
      <c r="U99" s="20">
        <f t="shared" si="20"/>
        <v>25183.25302347113</v>
      </c>
      <c r="V99" s="20">
        <f t="shared" si="21"/>
        <v>27281.857442093729</v>
      </c>
      <c r="W99" s="20">
        <f t="shared" si="22"/>
        <v>5760.2643537860531</v>
      </c>
      <c r="X99" s="35">
        <f t="shared" si="23"/>
        <v>28022.907667067284</v>
      </c>
      <c r="Y99" s="35">
        <f t="shared" si="24"/>
        <v>18681.938444711523</v>
      </c>
    </row>
    <row r="100" spans="1:25" x14ac:dyDescent="0.35">
      <c r="A100" t="str">
        <f t="shared" si="25"/>
        <v>CD62</v>
      </c>
      <c r="B100" t="s">
        <v>212</v>
      </c>
      <c r="C100" t="s">
        <v>213</v>
      </c>
      <c r="E100">
        <v>1</v>
      </c>
      <c r="F100">
        <v>509139.27503081138</v>
      </c>
      <c r="G100">
        <v>174699.57087966311</v>
      </c>
      <c r="H100">
        <v>0</v>
      </c>
      <c r="I100">
        <v>6694</v>
      </c>
      <c r="J100">
        <v>452</v>
      </c>
      <c r="K100">
        <v>1339</v>
      </c>
      <c r="L100">
        <v>500654.27503081138</v>
      </c>
      <c r="M100">
        <f t="shared" si="26"/>
        <v>0.33699999999999997</v>
      </c>
      <c r="N100" s="19">
        <f t="shared" si="27"/>
        <v>171128.6926853834</v>
      </c>
      <c r="O100" s="19">
        <f t="shared" si="14"/>
        <v>171579.93568538342</v>
      </c>
      <c r="P100" s="22">
        <f t="shared" si="15"/>
        <v>0</v>
      </c>
      <c r="Q100" s="23">
        <f t="shared" si="16"/>
        <v>2255.8779999999997</v>
      </c>
      <c r="R100" s="23">
        <f t="shared" si="17"/>
        <v>152.32399999999998</v>
      </c>
      <c r="S100" s="23">
        <f t="shared" si="18"/>
        <v>168720.49068538341</v>
      </c>
      <c r="T100" s="37">
        <f t="shared" si="19"/>
        <v>451.24299999999994</v>
      </c>
      <c r="U100" s="20">
        <f t="shared" si="20"/>
        <v>82141.772488984032</v>
      </c>
      <c r="V100" s="20">
        <f t="shared" si="21"/>
        <v>88986.920196399369</v>
      </c>
      <c r="W100" s="20">
        <f t="shared" si="22"/>
        <v>18788.61017614002</v>
      </c>
      <c r="X100" s="35">
        <f t="shared" si="23"/>
        <v>91404.049505546049</v>
      </c>
      <c r="Y100" s="35">
        <f t="shared" si="24"/>
        <v>60936.033003697361</v>
      </c>
    </row>
    <row r="101" spans="1:25" x14ac:dyDescent="0.35">
      <c r="A101" t="str">
        <f t="shared" si="25"/>
        <v>CD62</v>
      </c>
      <c r="B101" t="s">
        <v>214</v>
      </c>
      <c r="C101" t="s">
        <v>215</v>
      </c>
      <c r="E101">
        <v>1</v>
      </c>
      <c r="F101">
        <v>415160.32841942931</v>
      </c>
      <c r="G101">
        <v>142452.83123511763</v>
      </c>
      <c r="H101">
        <v>0</v>
      </c>
      <c r="I101">
        <v>3087</v>
      </c>
      <c r="J101">
        <v>0</v>
      </c>
      <c r="K101">
        <v>617</v>
      </c>
      <c r="L101">
        <v>411456.32841942931</v>
      </c>
      <c r="M101">
        <f t="shared" si="26"/>
        <v>0.33699999999999997</v>
      </c>
      <c r="N101" s="19">
        <f t="shared" si="27"/>
        <v>139701.10167734764</v>
      </c>
      <c r="O101" s="19">
        <f t="shared" si="14"/>
        <v>139909.03067734768</v>
      </c>
      <c r="P101" s="22">
        <f t="shared" si="15"/>
        <v>0</v>
      </c>
      <c r="Q101" s="23">
        <f t="shared" si="16"/>
        <v>1040.319</v>
      </c>
      <c r="R101" s="23">
        <f t="shared" si="17"/>
        <v>0</v>
      </c>
      <c r="S101" s="23">
        <f t="shared" si="18"/>
        <v>138660.78267734766</v>
      </c>
      <c r="T101" s="37">
        <f t="shared" si="19"/>
        <v>207.92899999999997</v>
      </c>
      <c r="U101" s="20">
        <f t="shared" si="20"/>
        <v>67056.528805126873</v>
      </c>
      <c r="V101" s="20">
        <f t="shared" si="21"/>
        <v>72644.572872220771</v>
      </c>
      <c r="W101" s="20">
        <f t="shared" si="22"/>
        <v>15338.103151518884</v>
      </c>
      <c r="X101" s="35">
        <f t="shared" si="23"/>
        <v>74617.79911549727</v>
      </c>
      <c r="Y101" s="35">
        <f t="shared" si="24"/>
        <v>49745.199410331516</v>
      </c>
    </row>
    <row r="102" spans="1:25" x14ac:dyDescent="0.35">
      <c r="A102" t="str">
        <f t="shared" si="25"/>
        <v>CD62</v>
      </c>
      <c r="B102" t="s">
        <v>216</v>
      </c>
      <c r="C102" t="s">
        <v>217</v>
      </c>
      <c r="E102">
        <v>1</v>
      </c>
      <c r="F102">
        <v>264616.39507566724</v>
      </c>
      <c r="G102">
        <v>90797.101961236214</v>
      </c>
      <c r="H102">
        <v>0</v>
      </c>
      <c r="I102">
        <v>5370</v>
      </c>
      <c r="J102">
        <v>10339</v>
      </c>
      <c r="K102">
        <v>1074</v>
      </c>
      <c r="L102">
        <v>247833.39507566724</v>
      </c>
      <c r="M102">
        <f t="shared" si="26"/>
        <v>0.33699999999999997</v>
      </c>
      <c r="N102" s="19">
        <f t="shared" si="27"/>
        <v>88813.787140499859</v>
      </c>
      <c r="O102" s="19">
        <f t="shared" si="14"/>
        <v>89175.725140499853</v>
      </c>
      <c r="P102" s="22">
        <f t="shared" si="15"/>
        <v>0</v>
      </c>
      <c r="Q102" s="23">
        <f t="shared" si="16"/>
        <v>1809.6899999999998</v>
      </c>
      <c r="R102" s="23">
        <f t="shared" si="17"/>
        <v>3484.2429999999995</v>
      </c>
      <c r="S102" s="23">
        <f t="shared" si="18"/>
        <v>83519.854140499854</v>
      </c>
      <c r="T102" s="37">
        <f t="shared" si="19"/>
        <v>361.93799999999999</v>
      </c>
      <c r="U102" s="20">
        <f t="shared" si="20"/>
        <v>42630.617827439928</v>
      </c>
      <c r="V102" s="20">
        <f t="shared" si="21"/>
        <v>46183.169313059931</v>
      </c>
      <c r="W102" s="20">
        <f t="shared" si="22"/>
        <v>9751.0686177996868</v>
      </c>
      <c r="X102" s="35">
        <f t="shared" si="23"/>
        <v>47437.631113620104</v>
      </c>
      <c r="Y102" s="35">
        <f t="shared" si="24"/>
        <v>31625.087409080068</v>
      </c>
    </row>
    <row r="103" spans="1:25" x14ac:dyDescent="0.35">
      <c r="A103" t="str">
        <f t="shared" si="25"/>
        <v>CD62</v>
      </c>
      <c r="B103" t="s">
        <v>218</v>
      </c>
      <c r="C103" t="s">
        <v>219</v>
      </c>
      <c r="E103">
        <v>1</v>
      </c>
      <c r="F103">
        <v>203903.83233970171</v>
      </c>
      <c r="G103">
        <v>69964.96588936093</v>
      </c>
      <c r="H103">
        <v>0</v>
      </c>
      <c r="I103">
        <v>11478</v>
      </c>
      <c r="J103">
        <v>4036</v>
      </c>
      <c r="K103">
        <v>2296</v>
      </c>
      <c r="L103">
        <v>186093.83233970171</v>
      </c>
      <c r="M103">
        <f t="shared" si="26"/>
        <v>0.33699999999999997</v>
      </c>
      <c r="N103" s="19">
        <f t="shared" si="27"/>
        <v>67941.839498479472</v>
      </c>
      <c r="O103" s="19">
        <f t="shared" si="14"/>
        <v>68715.591498479465</v>
      </c>
      <c r="P103" s="22">
        <f t="shared" si="15"/>
        <v>0</v>
      </c>
      <c r="Q103" s="23">
        <f t="shared" si="16"/>
        <v>3868.0859999999998</v>
      </c>
      <c r="R103" s="23">
        <f t="shared" si="17"/>
        <v>1360.1319999999998</v>
      </c>
      <c r="S103" s="23">
        <f t="shared" si="18"/>
        <v>62713.621498479471</v>
      </c>
      <c r="T103" s="37">
        <f t="shared" si="19"/>
        <v>773.75199999999995</v>
      </c>
      <c r="U103" s="20">
        <f t="shared" si="20"/>
        <v>32612.082959270145</v>
      </c>
      <c r="V103" s="20">
        <f t="shared" si="21"/>
        <v>35329.756539209324</v>
      </c>
      <c r="W103" s="20">
        <f t="shared" si="22"/>
        <v>7459.4897965689624</v>
      </c>
      <c r="X103" s="35">
        <f t="shared" si="23"/>
        <v>36289.409821146306</v>
      </c>
      <c r="Y103" s="35">
        <f t="shared" si="24"/>
        <v>24192.939880764203</v>
      </c>
    </row>
    <row r="104" spans="1:25" x14ac:dyDescent="0.35">
      <c r="A104" t="str">
        <f t="shared" si="25"/>
        <v>CD62</v>
      </c>
      <c r="B104" t="s">
        <v>220</v>
      </c>
      <c r="C104" t="s">
        <v>221</v>
      </c>
      <c r="E104">
        <v>1</v>
      </c>
      <c r="F104">
        <v>256970.83820045751</v>
      </c>
      <c r="G104">
        <v>88173.70288216426</v>
      </c>
      <c r="H104">
        <v>0</v>
      </c>
      <c r="I104">
        <v>51823</v>
      </c>
      <c r="J104">
        <v>17494</v>
      </c>
      <c r="K104">
        <v>10365</v>
      </c>
      <c r="L104">
        <v>177288.83820045751</v>
      </c>
      <c r="M104">
        <f t="shared" si="26"/>
        <v>0.33699999999999997</v>
      </c>
      <c r="N104" s="19">
        <f t="shared" si="27"/>
        <v>83106.167473554175</v>
      </c>
      <c r="O104" s="19">
        <f t="shared" si="14"/>
        <v>86599.172473554179</v>
      </c>
      <c r="P104" s="22">
        <f t="shared" si="15"/>
        <v>0</v>
      </c>
      <c r="Q104" s="23">
        <f t="shared" si="16"/>
        <v>17464.350999999999</v>
      </c>
      <c r="R104" s="23">
        <f t="shared" si="17"/>
        <v>5895.4779999999992</v>
      </c>
      <c r="S104" s="23">
        <f t="shared" si="18"/>
        <v>59746.338473554177</v>
      </c>
      <c r="T104" s="37">
        <f t="shared" si="19"/>
        <v>3493.0049999999997</v>
      </c>
      <c r="U104" s="20">
        <f t="shared" si="20"/>
        <v>39890.960387306004</v>
      </c>
      <c r="V104" s="20">
        <f t="shared" si="21"/>
        <v>43215.207086248171</v>
      </c>
      <c r="W104" s="20">
        <f t="shared" si="22"/>
        <v>9124.4160134169269</v>
      </c>
      <c r="X104" s="35">
        <f t="shared" si="23"/>
        <v>44389.05087608235</v>
      </c>
      <c r="Y104" s="35">
        <f t="shared" si="24"/>
        <v>29592.700584054899</v>
      </c>
    </row>
    <row r="105" spans="1:25" x14ac:dyDescent="0.35">
      <c r="A105" t="str">
        <f t="shared" si="25"/>
        <v>CD62</v>
      </c>
      <c r="B105" t="s">
        <v>222</v>
      </c>
      <c r="C105" t="s">
        <v>223</v>
      </c>
      <c r="E105">
        <v>1</v>
      </c>
      <c r="F105">
        <v>294237.30546495627</v>
      </c>
      <c r="G105">
        <v>100960.84415881189</v>
      </c>
      <c r="H105">
        <v>0</v>
      </c>
      <c r="I105">
        <v>31770</v>
      </c>
      <c r="J105">
        <v>25681</v>
      </c>
      <c r="K105">
        <v>6354</v>
      </c>
      <c r="L105">
        <v>230432.30546495627</v>
      </c>
      <c r="M105">
        <f t="shared" si="26"/>
        <v>0.33699999999999997</v>
      </c>
      <c r="N105" s="19">
        <f t="shared" si="27"/>
        <v>97016.673941690242</v>
      </c>
      <c r="O105" s="19">
        <f t="shared" si="14"/>
        <v>99157.971941690252</v>
      </c>
      <c r="P105" s="22">
        <f t="shared" si="15"/>
        <v>0</v>
      </c>
      <c r="Q105" s="23">
        <f t="shared" si="16"/>
        <v>10706.49</v>
      </c>
      <c r="R105" s="23">
        <f t="shared" si="17"/>
        <v>8654.4969999999994</v>
      </c>
      <c r="S105" s="23">
        <f t="shared" si="18"/>
        <v>77655.686941690248</v>
      </c>
      <c r="T105" s="37">
        <f t="shared" si="19"/>
        <v>2141.2979999999998</v>
      </c>
      <c r="U105" s="20">
        <f t="shared" si="20"/>
        <v>46568.003492011318</v>
      </c>
      <c r="V105" s="20">
        <f t="shared" si="21"/>
        <v>50448.670449678924</v>
      </c>
      <c r="W105" s="20">
        <f t="shared" si="22"/>
        <v>10651.682302203382</v>
      </c>
      <c r="X105" s="35">
        <f t="shared" si="23"/>
        <v>51818.99498369213</v>
      </c>
      <c r="Y105" s="35">
        <f t="shared" si="24"/>
        <v>34545.996655794748</v>
      </c>
    </row>
    <row r="106" spans="1:25" x14ac:dyDescent="0.35">
      <c r="A106" t="str">
        <f t="shared" si="25"/>
        <v>CD62</v>
      </c>
      <c r="B106" t="s">
        <v>224</v>
      </c>
      <c r="C106" t="s">
        <v>225</v>
      </c>
      <c r="E106">
        <v>1</v>
      </c>
      <c r="F106">
        <v>153092.1036198615</v>
      </c>
      <c r="G106">
        <v>52530.075991164114</v>
      </c>
      <c r="H106">
        <v>0</v>
      </c>
      <c r="I106">
        <v>7192</v>
      </c>
      <c r="J106">
        <v>1380</v>
      </c>
      <c r="K106">
        <v>1439</v>
      </c>
      <c r="L106">
        <v>143081.1036198615</v>
      </c>
      <c r="M106">
        <f t="shared" si="26"/>
        <v>0.33699999999999997</v>
      </c>
      <c r="N106" s="19">
        <f t="shared" si="27"/>
        <v>51107.095919893327</v>
      </c>
      <c r="O106" s="19">
        <f t="shared" si="14"/>
        <v>51592.038919893319</v>
      </c>
      <c r="P106" s="22">
        <f t="shared" si="15"/>
        <v>0</v>
      </c>
      <c r="Q106" s="23">
        <f t="shared" si="16"/>
        <v>2423.7039999999997</v>
      </c>
      <c r="R106" s="23">
        <f t="shared" si="17"/>
        <v>465.05999999999995</v>
      </c>
      <c r="S106" s="23">
        <f t="shared" si="18"/>
        <v>48218.331919893324</v>
      </c>
      <c r="T106" s="37">
        <f t="shared" si="19"/>
        <v>484.94299999999993</v>
      </c>
      <c r="U106" s="20">
        <f t="shared" si="20"/>
        <v>24531.406041548795</v>
      </c>
      <c r="V106" s="20">
        <f t="shared" si="21"/>
        <v>26575.689878344532</v>
      </c>
      <c r="W106" s="20">
        <f t="shared" si="22"/>
        <v>5611.1648339348758</v>
      </c>
      <c r="X106" s="35">
        <f t="shared" si="23"/>
        <v>27297.558651575069</v>
      </c>
      <c r="Y106" s="35">
        <f t="shared" si="24"/>
        <v>18198.372434383378</v>
      </c>
    </row>
    <row r="107" spans="1:25" x14ac:dyDescent="0.35">
      <c r="A107" t="str">
        <f t="shared" si="25"/>
        <v>CD62</v>
      </c>
      <c r="B107" t="s">
        <v>226</v>
      </c>
      <c r="C107" t="s">
        <v>227</v>
      </c>
      <c r="E107">
        <v>1</v>
      </c>
      <c r="F107">
        <v>149406.88035110192</v>
      </c>
      <c r="G107">
        <v>51265.575381563554</v>
      </c>
      <c r="H107">
        <v>0</v>
      </c>
      <c r="I107">
        <v>4712</v>
      </c>
      <c r="J107">
        <v>5031</v>
      </c>
      <c r="K107">
        <v>943</v>
      </c>
      <c r="L107">
        <v>138720.88035110192</v>
      </c>
      <c r="M107">
        <f t="shared" si="26"/>
        <v>0.33699999999999997</v>
      </c>
      <c r="N107" s="19">
        <f t="shared" si="27"/>
        <v>50032.327678321337</v>
      </c>
      <c r="O107" s="19">
        <f t="shared" si="14"/>
        <v>50350.118678321342</v>
      </c>
      <c r="P107" s="22">
        <f t="shared" si="15"/>
        <v>0</v>
      </c>
      <c r="Q107" s="23">
        <f t="shared" si="16"/>
        <v>1587.9439999999997</v>
      </c>
      <c r="R107" s="23">
        <f t="shared" si="17"/>
        <v>1695.4469999999999</v>
      </c>
      <c r="S107" s="23">
        <f t="shared" si="18"/>
        <v>46748.936678321341</v>
      </c>
      <c r="T107" s="37">
        <f t="shared" si="19"/>
        <v>317.79099999999994</v>
      </c>
      <c r="U107" s="20">
        <f t="shared" si="20"/>
        <v>24015.51728559424</v>
      </c>
      <c r="V107" s="20">
        <f t="shared" si="21"/>
        <v>26016.810392727097</v>
      </c>
      <c r="W107" s="20">
        <f t="shared" si="22"/>
        <v>5493.1635729907712</v>
      </c>
      <c r="X107" s="35">
        <f t="shared" si="23"/>
        <v>26723.498463198346</v>
      </c>
      <c r="Y107" s="35">
        <f t="shared" si="24"/>
        <v>17815.66564213223</v>
      </c>
    </row>
    <row r="108" spans="1:25" x14ac:dyDescent="0.35">
      <c r="A108" t="str">
        <f t="shared" si="25"/>
        <v>CD62</v>
      </c>
      <c r="B108" t="s">
        <v>228</v>
      </c>
      <c r="C108" t="s">
        <v>229</v>
      </c>
      <c r="E108">
        <v>1</v>
      </c>
      <c r="F108">
        <v>200044.96528365457</v>
      </c>
      <c r="G108">
        <v>68640.88336060234</v>
      </c>
      <c r="H108">
        <v>0</v>
      </c>
      <c r="I108">
        <v>17392</v>
      </c>
      <c r="J108">
        <v>8140</v>
      </c>
      <c r="K108">
        <v>3478</v>
      </c>
      <c r="L108">
        <v>171034.96528365457</v>
      </c>
      <c r="M108">
        <f t="shared" si="26"/>
        <v>0.33699999999999997</v>
      </c>
      <c r="N108" s="19">
        <f t="shared" si="27"/>
        <v>66243.067300591589</v>
      </c>
      <c r="O108" s="19">
        <f t="shared" si="14"/>
        <v>67415.153300591584</v>
      </c>
      <c r="P108" s="22">
        <f t="shared" si="15"/>
        <v>0</v>
      </c>
      <c r="Q108" s="23">
        <f t="shared" si="16"/>
        <v>5861.1039999999994</v>
      </c>
      <c r="R108" s="23">
        <f t="shared" si="17"/>
        <v>2743.18</v>
      </c>
      <c r="S108" s="23">
        <f t="shared" si="18"/>
        <v>57638.783300591582</v>
      </c>
      <c r="T108" s="37">
        <f t="shared" si="19"/>
        <v>1172.0859999999998</v>
      </c>
      <c r="U108" s="20">
        <f t="shared" si="20"/>
        <v>31796.672304283962</v>
      </c>
      <c r="V108" s="20">
        <f t="shared" si="21"/>
        <v>34446.39499630763</v>
      </c>
      <c r="W108" s="20">
        <f t="shared" si="22"/>
        <v>7272.9777154952189</v>
      </c>
      <c r="X108" s="35">
        <f t="shared" si="23"/>
        <v>35382.053751057822</v>
      </c>
      <c r="Y108" s="35">
        <f t="shared" si="24"/>
        <v>23588.035834038546</v>
      </c>
    </row>
    <row r="109" spans="1:25" x14ac:dyDescent="0.35">
      <c r="A109" t="str">
        <f t="shared" si="25"/>
        <v>CD62</v>
      </c>
      <c r="B109" t="s">
        <v>230</v>
      </c>
      <c r="C109" t="s">
        <v>231</v>
      </c>
      <c r="E109">
        <v>1</v>
      </c>
      <c r="F109">
        <v>186738.20252410567</v>
      </c>
      <c r="G109">
        <v>64074.970146089494</v>
      </c>
      <c r="H109">
        <v>0</v>
      </c>
      <c r="I109">
        <v>9829</v>
      </c>
      <c r="J109">
        <v>9732</v>
      </c>
      <c r="K109">
        <v>1966</v>
      </c>
      <c r="L109">
        <v>165211.20252410567</v>
      </c>
      <c r="M109">
        <f t="shared" si="26"/>
        <v>0.33699999999999997</v>
      </c>
      <c r="N109" s="19">
        <f t="shared" si="27"/>
        <v>62268.232250623609</v>
      </c>
      <c r="O109" s="19">
        <f t="shared" si="14"/>
        <v>62930.774250623603</v>
      </c>
      <c r="P109" s="22">
        <f t="shared" si="15"/>
        <v>0</v>
      </c>
      <c r="Q109" s="23">
        <f t="shared" si="16"/>
        <v>3312.3729999999996</v>
      </c>
      <c r="R109" s="23">
        <f t="shared" si="17"/>
        <v>3279.6839999999997</v>
      </c>
      <c r="S109" s="23">
        <f t="shared" si="18"/>
        <v>55676.175250623608</v>
      </c>
      <c r="T109" s="37">
        <f t="shared" si="19"/>
        <v>662.54199999999992</v>
      </c>
      <c r="U109" s="20">
        <f t="shared" si="20"/>
        <v>29888.751480299332</v>
      </c>
      <c r="V109" s="20">
        <f t="shared" si="21"/>
        <v>32379.480770324277</v>
      </c>
      <c r="W109" s="20">
        <f t="shared" si="22"/>
        <v>6836.5714933919098</v>
      </c>
      <c r="X109" s="35">
        <f t="shared" si="23"/>
        <v>33258.996454339016</v>
      </c>
      <c r="Y109" s="35">
        <f t="shared" si="24"/>
        <v>22172.664302892681</v>
      </c>
    </row>
    <row r="110" spans="1:25" x14ac:dyDescent="0.35">
      <c r="A110" t="str">
        <f t="shared" si="25"/>
        <v>CD62</v>
      </c>
      <c r="B110" t="s">
        <v>232</v>
      </c>
      <c r="C110" t="s">
        <v>233</v>
      </c>
      <c r="E110">
        <v>1</v>
      </c>
      <c r="F110">
        <v>226515.18237589451</v>
      </c>
      <c r="G110">
        <v>77723.536759961484</v>
      </c>
      <c r="H110">
        <v>0</v>
      </c>
      <c r="I110">
        <v>2012</v>
      </c>
      <c r="J110">
        <v>50</v>
      </c>
      <c r="K110">
        <v>403</v>
      </c>
      <c r="L110">
        <v>224050.18237589451</v>
      </c>
      <c r="M110">
        <f t="shared" si="26"/>
        <v>0.33699999999999997</v>
      </c>
      <c r="N110" s="19">
        <f t="shared" si="27"/>
        <v>76199.805460676449</v>
      </c>
      <c r="O110" s="19">
        <f t="shared" si="14"/>
        <v>76335.616460676436</v>
      </c>
      <c r="P110" s="22">
        <f t="shared" si="15"/>
        <v>0</v>
      </c>
      <c r="Q110" s="23">
        <f t="shared" si="16"/>
        <v>678.04399999999998</v>
      </c>
      <c r="R110" s="23">
        <f t="shared" si="17"/>
        <v>16.849999999999998</v>
      </c>
      <c r="S110" s="23">
        <f t="shared" si="18"/>
        <v>75504.911460676449</v>
      </c>
      <c r="T110" s="37">
        <f t="shared" si="19"/>
        <v>135.81099999999998</v>
      </c>
      <c r="U110" s="20">
        <f t="shared" si="20"/>
        <v>36575.906621124697</v>
      </c>
      <c r="V110" s="20">
        <f t="shared" si="21"/>
        <v>39623.898839551752</v>
      </c>
      <c r="W110" s="20">
        <f t="shared" si="22"/>
        <v>8366.1507479080956</v>
      </c>
      <c r="X110" s="35">
        <f t="shared" si="23"/>
        <v>40700.192827661012</v>
      </c>
      <c r="Y110" s="35">
        <f t="shared" si="24"/>
        <v>27133.461885107339</v>
      </c>
    </row>
    <row r="111" spans="1:25" x14ac:dyDescent="0.35">
      <c r="A111" t="str">
        <f t="shared" si="25"/>
        <v>CD62</v>
      </c>
      <c r="B111" t="s">
        <v>234</v>
      </c>
      <c r="C111" t="s">
        <v>235</v>
      </c>
      <c r="E111">
        <v>1</v>
      </c>
      <c r="F111">
        <v>257840.10318380673</v>
      </c>
      <c r="G111">
        <v>88471.971405178192</v>
      </c>
      <c r="H111">
        <v>0</v>
      </c>
      <c r="I111">
        <v>70848</v>
      </c>
      <c r="J111">
        <v>96848</v>
      </c>
      <c r="K111">
        <v>14170</v>
      </c>
      <c r="L111">
        <v>75974.103183806728</v>
      </c>
      <c r="M111">
        <f t="shared" si="26"/>
        <v>0.33699999999999997</v>
      </c>
      <c r="N111" s="19">
        <f t="shared" si="27"/>
        <v>82116.824772942869</v>
      </c>
      <c r="O111" s="19">
        <f t="shared" si="14"/>
        <v>86892.114772942863</v>
      </c>
      <c r="P111" s="22">
        <f t="shared" si="15"/>
        <v>0</v>
      </c>
      <c r="Q111" s="23">
        <f t="shared" si="16"/>
        <v>23875.775999999998</v>
      </c>
      <c r="R111" s="23">
        <f t="shared" si="17"/>
        <v>32637.775999999998</v>
      </c>
      <c r="S111" s="23">
        <f t="shared" si="18"/>
        <v>25603.272772942866</v>
      </c>
      <c r="T111" s="37">
        <f t="shared" si="19"/>
        <v>4775.29</v>
      </c>
      <c r="U111" s="20">
        <f t="shared" si="20"/>
        <v>39416.075891012573</v>
      </c>
      <c r="V111" s="20">
        <f t="shared" si="21"/>
        <v>42700.748881930296</v>
      </c>
      <c r="W111" s="20">
        <f t="shared" si="22"/>
        <v>9015.793817800848</v>
      </c>
      <c r="X111" s="35">
        <f t="shared" si="23"/>
        <v>43860.618573085208</v>
      </c>
      <c r="Y111" s="35">
        <f t="shared" si="24"/>
        <v>29240.412382056806</v>
      </c>
    </row>
    <row r="112" spans="1:25" x14ac:dyDescent="0.35">
      <c r="A112" t="str">
        <f t="shared" si="25"/>
        <v>CD62</v>
      </c>
      <c r="B112" t="s">
        <v>236</v>
      </c>
      <c r="C112" t="s">
        <v>237</v>
      </c>
      <c r="E112">
        <v>1</v>
      </c>
      <c r="F112">
        <v>204275.17899323837</v>
      </c>
      <c r="G112">
        <v>70092.385053825361</v>
      </c>
      <c r="H112">
        <v>0</v>
      </c>
      <c r="I112">
        <v>58305</v>
      </c>
      <c r="J112">
        <v>53862</v>
      </c>
      <c r="K112">
        <v>11661</v>
      </c>
      <c r="L112">
        <v>80447.178993238369</v>
      </c>
      <c r="M112">
        <f t="shared" si="26"/>
        <v>0.33699999999999997</v>
      </c>
      <c r="N112" s="19">
        <f t="shared" si="27"/>
        <v>64910.978320721319</v>
      </c>
      <c r="O112" s="19">
        <f t="shared" si="14"/>
        <v>68840.735320721316</v>
      </c>
      <c r="P112" s="22">
        <f t="shared" si="15"/>
        <v>0</v>
      </c>
      <c r="Q112" s="23">
        <f t="shared" si="16"/>
        <v>19648.784999999996</v>
      </c>
      <c r="R112" s="23">
        <f t="shared" si="17"/>
        <v>18151.493999999999</v>
      </c>
      <c r="S112" s="23">
        <f t="shared" si="18"/>
        <v>27110.699320721327</v>
      </c>
      <c r="T112" s="37">
        <f t="shared" si="19"/>
        <v>3929.7569999999996</v>
      </c>
      <c r="U112" s="20">
        <f t="shared" si="20"/>
        <v>31157.269593946232</v>
      </c>
      <c r="V112" s="20">
        <f t="shared" si="21"/>
        <v>33753.70872677509</v>
      </c>
      <c r="W112" s="20">
        <f t="shared" si="22"/>
        <v>7126.724622749819</v>
      </c>
      <c r="X112" s="35">
        <f t="shared" si="23"/>
        <v>34670.552218782905</v>
      </c>
      <c r="Y112" s="35">
        <f t="shared" si="24"/>
        <v>23113.701479188603</v>
      </c>
    </row>
    <row r="113" spans="1:25" x14ac:dyDescent="0.35">
      <c r="A113" t="str">
        <f t="shared" si="25"/>
        <v>CD62</v>
      </c>
      <c r="B113" t="s">
        <v>238</v>
      </c>
      <c r="C113" t="s">
        <v>239</v>
      </c>
      <c r="E113">
        <v>1</v>
      </c>
      <c r="F113">
        <v>193714.28937603804</v>
      </c>
      <c r="G113">
        <v>66468.655801901623</v>
      </c>
      <c r="H113">
        <v>0</v>
      </c>
      <c r="I113">
        <v>18941</v>
      </c>
      <c r="J113">
        <v>452</v>
      </c>
      <c r="K113">
        <v>3788</v>
      </c>
      <c r="L113">
        <v>170533.28937603804</v>
      </c>
      <c r="M113">
        <f t="shared" si="26"/>
        <v>0.33699999999999997</v>
      </c>
      <c r="N113" s="19">
        <f t="shared" si="27"/>
        <v>64005.15951972481</v>
      </c>
      <c r="O113" s="19">
        <f t="shared" si="14"/>
        <v>65281.715519724814</v>
      </c>
      <c r="P113" s="22">
        <f t="shared" si="15"/>
        <v>0</v>
      </c>
      <c r="Q113" s="23">
        <f t="shared" si="16"/>
        <v>6383.1169999999993</v>
      </c>
      <c r="R113" s="23">
        <f t="shared" si="17"/>
        <v>152.32399999999998</v>
      </c>
      <c r="S113" s="23">
        <f t="shared" si="18"/>
        <v>57469.718519724811</v>
      </c>
      <c r="T113" s="37">
        <f t="shared" si="19"/>
        <v>1276.5559999999998</v>
      </c>
      <c r="U113" s="20">
        <f t="shared" si="20"/>
        <v>30722.476569467908</v>
      </c>
      <c r="V113" s="20">
        <f t="shared" si="21"/>
        <v>33282.682950256902</v>
      </c>
      <c r="W113" s="20">
        <f t="shared" si="22"/>
        <v>7027.2727069134071</v>
      </c>
      <c r="X113" s="35">
        <f t="shared" si="23"/>
        <v>34186.732087686847</v>
      </c>
      <c r="Y113" s="35">
        <f t="shared" si="24"/>
        <v>22791.154725124565</v>
      </c>
    </row>
    <row r="114" spans="1:25" x14ac:dyDescent="0.35">
      <c r="A114" t="str">
        <f t="shared" si="25"/>
        <v>CD62</v>
      </c>
      <c r="B114" t="s">
        <v>240</v>
      </c>
      <c r="C114" t="s">
        <v>241</v>
      </c>
      <c r="E114">
        <v>1</v>
      </c>
      <c r="F114">
        <v>300572.16556021827</v>
      </c>
      <c r="G114">
        <v>103134.50742640797</v>
      </c>
      <c r="H114">
        <v>0</v>
      </c>
      <c r="I114">
        <v>31072</v>
      </c>
      <c r="J114">
        <v>263286</v>
      </c>
      <c r="K114">
        <v>6214</v>
      </c>
      <c r="L114">
        <v>0</v>
      </c>
      <c r="M114">
        <f t="shared" si="26"/>
        <v>0.33699999999999997</v>
      </c>
      <c r="N114" s="19">
        <f t="shared" si="27"/>
        <v>99198.645999999993</v>
      </c>
      <c r="O114" s="19">
        <f t="shared" si="14"/>
        <v>101292.81979379355</v>
      </c>
      <c r="P114" s="22">
        <f t="shared" si="15"/>
        <v>0</v>
      </c>
      <c r="Q114" s="23">
        <f t="shared" si="16"/>
        <v>10471.263999999999</v>
      </c>
      <c r="R114" s="23">
        <f t="shared" si="17"/>
        <v>88727.381999999998</v>
      </c>
      <c r="S114" s="23">
        <f t="shared" si="18"/>
        <v>0</v>
      </c>
      <c r="T114" s="37">
        <f t="shared" si="19"/>
        <v>2094.1179999999999</v>
      </c>
      <c r="U114" s="20">
        <f t="shared" si="20"/>
        <v>47615.350079999997</v>
      </c>
      <c r="V114" s="20">
        <f t="shared" si="21"/>
        <v>51583.295919999997</v>
      </c>
      <c r="W114" s="20">
        <f t="shared" si="22"/>
        <v>10891.252125728075</v>
      </c>
      <c r="X114" s="35">
        <f t="shared" si="23"/>
        <v>52984.469800839288</v>
      </c>
      <c r="Y114" s="35">
        <f t="shared" si="24"/>
        <v>35322.97986722619</v>
      </c>
    </row>
    <row r="115" spans="1:25" x14ac:dyDescent="0.35">
      <c r="A115" t="str">
        <f t="shared" si="25"/>
        <v>CD62</v>
      </c>
      <c r="B115" t="s">
        <v>242</v>
      </c>
      <c r="C115" t="s">
        <v>243</v>
      </c>
      <c r="E115">
        <v>1</v>
      </c>
      <c r="F115">
        <v>321406.28189399204</v>
      </c>
      <c r="G115">
        <v>110283.26094369849</v>
      </c>
      <c r="H115">
        <v>0</v>
      </c>
      <c r="I115">
        <v>12202</v>
      </c>
      <c r="J115">
        <v>203</v>
      </c>
      <c r="K115">
        <v>2440</v>
      </c>
      <c r="L115">
        <v>306561.28189399204</v>
      </c>
      <c r="M115">
        <f t="shared" si="26"/>
        <v>0.33699999999999997</v>
      </c>
      <c r="N115" s="19">
        <f t="shared" si="27"/>
        <v>107491.63699827531</v>
      </c>
      <c r="O115" s="19">
        <f t="shared" si="14"/>
        <v>108313.91699827531</v>
      </c>
      <c r="P115" s="22">
        <f t="shared" si="15"/>
        <v>0</v>
      </c>
      <c r="Q115" s="23">
        <f t="shared" si="16"/>
        <v>4112.0739999999996</v>
      </c>
      <c r="R115" s="23">
        <f t="shared" si="17"/>
        <v>68.410999999999987</v>
      </c>
      <c r="S115" s="23">
        <f t="shared" si="18"/>
        <v>103311.15199827531</v>
      </c>
      <c r="T115" s="37">
        <f t="shared" si="19"/>
        <v>822.28</v>
      </c>
      <c r="U115" s="20">
        <f t="shared" si="20"/>
        <v>51595.985759172145</v>
      </c>
      <c r="V115" s="20">
        <f t="shared" si="21"/>
        <v>55895.651239103165</v>
      </c>
      <c r="W115" s="20">
        <f t="shared" si="22"/>
        <v>11801.752430077704</v>
      </c>
      <c r="X115" s="35">
        <f t="shared" si="23"/>
        <v>57413.930740918564</v>
      </c>
      <c r="Y115" s="35">
        <f t="shared" si="24"/>
        <v>38275.953827279045</v>
      </c>
    </row>
    <row r="116" spans="1:25" x14ac:dyDescent="0.35">
      <c r="A116" t="str">
        <f t="shared" si="25"/>
        <v>CD62</v>
      </c>
      <c r="B116" t="s">
        <v>244</v>
      </c>
      <c r="C116" t="s">
        <v>245</v>
      </c>
      <c r="E116">
        <v>1</v>
      </c>
      <c r="F116">
        <v>146632.76394214638</v>
      </c>
      <c r="G116">
        <v>50313.700383930664</v>
      </c>
      <c r="H116">
        <v>0</v>
      </c>
      <c r="I116">
        <v>942</v>
      </c>
      <c r="J116">
        <v>1121</v>
      </c>
      <c r="K116">
        <v>188</v>
      </c>
      <c r="L116">
        <v>144381.76394214638</v>
      </c>
      <c r="M116">
        <f t="shared" si="26"/>
        <v>0.33699999999999997</v>
      </c>
      <c r="N116" s="19">
        <f t="shared" si="27"/>
        <v>49351.885448503323</v>
      </c>
      <c r="O116" s="19">
        <f t="shared" si="14"/>
        <v>49415.24144850333</v>
      </c>
      <c r="P116" s="22">
        <f t="shared" si="15"/>
        <v>0</v>
      </c>
      <c r="Q116" s="23">
        <f t="shared" si="16"/>
        <v>317.45399999999995</v>
      </c>
      <c r="R116" s="23">
        <f t="shared" si="17"/>
        <v>377.77699999999999</v>
      </c>
      <c r="S116" s="23">
        <f t="shared" si="18"/>
        <v>48656.654448503323</v>
      </c>
      <c r="T116" s="37">
        <f t="shared" si="19"/>
        <v>63.355999999999995</v>
      </c>
      <c r="U116" s="20">
        <f t="shared" si="20"/>
        <v>23688.905015281594</v>
      </c>
      <c r="V116" s="20">
        <f t="shared" si="21"/>
        <v>25662.980433221728</v>
      </c>
      <c r="W116" s="20">
        <f t="shared" si="22"/>
        <v>5418.4562658594159</v>
      </c>
      <c r="X116" s="35">
        <f t="shared" si="23"/>
        <v>26360.05750958635</v>
      </c>
      <c r="Y116" s="35">
        <f t="shared" si="24"/>
        <v>17573.371673057565</v>
      </c>
    </row>
    <row r="117" spans="1:25" x14ac:dyDescent="0.35">
      <c r="A117" t="str">
        <f t="shared" si="25"/>
        <v>CD62</v>
      </c>
      <c r="B117" t="s">
        <v>246</v>
      </c>
      <c r="C117" t="s">
        <v>247</v>
      </c>
      <c r="E117">
        <v>1</v>
      </c>
      <c r="F117">
        <v>225362.43867956381</v>
      </c>
      <c r="G117">
        <v>77327.998959285964</v>
      </c>
      <c r="H117">
        <v>0</v>
      </c>
      <c r="I117">
        <v>2785</v>
      </c>
      <c r="J117">
        <v>45</v>
      </c>
      <c r="K117">
        <v>557</v>
      </c>
      <c r="L117">
        <v>221975.43867956381</v>
      </c>
      <c r="M117">
        <f t="shared" si="26"/>
        <v>0.33699999999999997</v>
      </c>
      <c r="N117" s="19">
        <f t="shared" si="27"/>
        <v>75759.432835013009</v>
      </c>
      <c r="O117" s="19">
        <f t="shared" si="14"/>
        <v>75947.141835012997</v>
      </c>
      <c r="P117" s="22">
        <f t="shared" si="15"/>
        <v>0</v>
      </c>
      <c r="Q117" s="23">
        <f t="shared" si="16"/>
        <v>938.54499999999996</v>
      </c>
      <c r="R117" s="23">
        <f t="shared" si="17"/>
        <v>15.164999999999999</v>
      </c>
      <c r="S117" s="23">
        <f t="shared" si="18"/>
        <v>74805.722835013003</v>
      </c>
      <c r="T117" s="37">
        <f t="shared" si="19"/>
        <v>187.70899999999997</v>
      </c>
      <c r="U117" s="20">
        <f t="shared" si="20"/>
        <v>36364.527760806246</v>
      </c>
      <c r="V117" s="20">
        <f t="shared" si="21"/>
        <v>39394.905074206763</v>
      </c>
      <c r="W117" s="20">
        <f t="shared" si="22"/>
        <v>8317.8012311438615</v>
      </c>
      <c r="X117" s="35">
        <f t="shared" si="23"/>
        <v>40464.978962321482</v>
      </c>
      <c r="Y117" s="35">
        <f t="shared" si="24"/>
        <v>26976.652641547658</v>
      </c>
    </row>
    <row r="118" spans="1:25" x14ac:dyDescent="0.35">
      <c r="A118" t="str">
        <f t="shared" si="25"/>
        <v>CD62</v>
      </c>
      <c r="B118" t="s">
        <v>248</v>
      </c>
      <c r="C118" t="s">
        <v>249</v>
      </c>
      <c r="E118">
        <v>1</v>
      </c>
      <c r="F118">
        <v>179798.72731407129</v>
      </c>
      <c r="G118">
        <v>61693.846943111879</v>
      </c>
      <c r="H118">
        <v>0</v>
      </c>
      <c r="I118">
        <v>11095</v>
      </c>
      <c r="J118">
        <v>24442</v>
      </c>
      <c r="K118">
        <v>2219</v>
      </c>
      <c r="L118">
        <v>142042.72731407129</v>
      </c>
      <c r="M118">
        <f t="shared" si="26"/>
        <v>0.33699999999999997</v>
      </c>
      <c r="N118" s="19">
        <f t="shared" si="27"/>
        <v>59844.368104842019</v>
      </c>
      <c r="O118" s="19">
        <f t="shared" si="14"/>
        <v>60592.171104842018</v>
      </c>
      <c r="P118" s="22">
        <f t="shared" si="15"/>
        <v>0</v>
      </c>
      <c r="Q118" s="23">
        <f t="shared" si="16"/>
        <v>3739.0149999999994</v>
      </c>
      <c r="R118" s="23">
        <f t="shared" si="17"/>
        <v>8236.9539999999997</v>
      </c>
      <c r="S118" s="23">
        <f t="shared" si="18"/>
        <v>47868.399104842021</v>
      </c>
      <c r="T118" s="37">
        <f t="shared" si="19"/>
        <v>747.80299999999988</v>
      </c>
      <c r="U118" s="20">
        <f t="shared" si="20"/>
        <v>28725.296690324169</v>
      </c>
      <c r="V118" s="20">
        <f t="shared" si="21"/>
        <v>31119.07141451785</v>
      </c>
      <c r="W118" s="20">
        <f t="shared" si="22"/>
        <v>6570.4499106206376</v>
      </c>
      <c r="X118" s="35">
        <f t="shared" si="23"/>
        <v>31964.350916532832</v>
      </c>
      <c r="Y118" s="35">
        <f t="shared" si="24"/>
        <v>21309.567277688555</v>
      </c>
    </row>
    <row r="119" spans="1:25" x14ac:dyDescent="0.35">
      <c r="A119" t="str">
        <f t="shared" si="25"/>
        <v>CD62</v>
      </c>
      <c r="B119" t="s">
        <v>250</v>
      </c>
      <c r="C119" t="s">
        <v>251</v>
      </c>
      <c r="E119">
        <v>1</v>
      </c>
      <c r="F119">
        <v>310999.16117276315</v>
      </c>
      <c r="G119">
        <v>106712.29399367975</v>
      </c>
      <c r="H119">
        <v>0</v>
      </c>
      <c r="I119">
        <v>5149</v>
      </c>
      <c r="J119">
        <v>2014</v>
      </c>
      <c r="K119">
        <v>1030</v>
      </c>
      <c r="L119">
        <v>302806.16117276315</v>
      </c>
      <c r="M119">
        <f t="shared" si="26"/>
        <v>0.33699999999999997</v>
      </c>
      <c r="N119" s="19">
        <f t="shared" si="27"/>
        <v>104459.60731522118</v>
      </c>
      <c r="O119" s="19">
        <f t="shared" si="14"/>
        <v>104806.71731522118</v>
      </c>
      <c r="P119" s="22">
        <f t="shared" si="15"/>
        <v>0</v>
      </c>
      <c r="Q119" s="23">
        <f t="shared" si="16"/>
        <v>1735.2129999999997</v>
      </c>
      <c r="R119" s="23">
        <f t="shared" si="17"/>
        <v>678.71799999999996</v>
      </c>
      <c r="S119" s="23">
        <f t="shared" si="18"/>
        <v>102045.67631522118</v>
      </c>
      <c r="T119" s="37">
        <f t="shared" si="19"/>
        <v>347.10999999999996</v>
      </c>
      <c r="U119" s="20">
        <f t="shared" si="20"/>
        <v>50140.611511306161</v>
      </c>
      <c r="V119" s="20">
        <f t="shared" si="21"/>
        <v>54318.995803915015</v>
      </c>
      <c r="W119" s="20">
        <f t="shared" si="22"/>
        <v>11468.858963392237</v>
      </c>
      <c r="X119" s="35">
        <f t="shared" si="23"/>
        <v>55794.449011097364</v>
      </c>
      <c r="Y119" s="35">
        <f t="shared" si="24"/>
        <v>37196.299340731573</v>
      </c>
    </row>
    <row r="120" spans="1:25" x14ac:dyDescent="0.35">
      <c r="A120" t="str">
        <f t="shared" si="25"/>
        <v>CD62</v>
      </c>
      <c r="B120" t="s">
        <v>252</v>
      </c>
      <c r="C120" t="s">
        <v>253</v>
      </c>
      <c r="E120">
        <v>1</v>
      </c>
      <c r="F120">
        <v>170469.03491155448</v>
      </c>
      <c r="G120">
        <v>58492.575033651934</v>
      </c>
      <c r="H120">
        <v>0</v>
      </c>
      <c r="I120">
        <v>520</v>
      </c>
      <c r="J120">
        <v>764</v>
      </c>
      <c r="K120">
        <v>104</v>
      </c>
      <c r="L120">
        <v>169081.03491155448</v>
      </c>
      <c r="M120">
        <f t="shared" si="26"/>
        <v>0.33699999999999997</v>
      </c>
      <c r="N120" s="19">
        <f t="shared" si="27"/>
        <v>57413.016765193854</v>
      </c>
      <c r="O120" s="19">
        <f t="shared" si="14"/>
        <v>57448.064765193856</v>
      </c>
      <c r="P120" s="22">
        <f t="shared" si="15"/>
        <v>0</v>
      </c>
      <c r="Q120" s="23">
        <f t="shared" si="16"/>
        <v>175.23999999999998</v>
      </c>
      <c r="R120" s="23">
        <f t="shared" si="17"/>
        <v>257.46799999999996</v>
      </c>
      <c r="S120" s="23">
        <f t="shared" si="18"/>
        <v>56980.308765193855</v>
      </c>
      <c r="T120" s="37">
        <f t="shared" si="19"/>
        <v>35.047999999999995</v>
      </c>
      <c r="U120" s="20">
        <f t="shared" si="20"/>
        <v>27558.248047293047</v>
      </c>
      <c r="V120" s="20">
        <f t="shared" si="21"/>
        <v>29854.768717900806</v>
      </c>
      <c r="W120" s="20">
        <f t="shared" si="22"/>
        <v>6303.5062917275154</v>
      </c>
      <c r="X120" s="35">
        <f t="shared" si="23"/>
        <v>30665.706284079806</v>
      </c>
      <c r="Y120" s="35">
        <f t="shared" si="24"/>
        <v>20443.804189386537</v>
      </c>
    </row>
    <row r="121" spans="1:25" x14ac:dyDescent="0.35">
      <c r="A121" t="str">
        <f t="shared" si="25"/>
        <v>CD62</v>
      </c>
      <c r="B121" t="s">
        <v>254</v>
      </c>
      <c r="C121" t="s">
        <v>255</v>
      </c>
      <c r="E121">
        <v>1</v>
      </c>
      <c r="F121">
        <v>206318.1086111457</v>
      </c>
      <c r="G121">
        <v>70793.369921991674</v>
      </c>
      <c r="H121">
        <v>0</v>
      </c>
      <c r="I121">
        <v>2589</v>
      </c>
      <c r="J121">
        <v>980</v>
      </c>
      <c r="K121">
        <v>518</v>
      </c>
      <c r="L121">
        <v>202231.1086111457</v>
      </c>
      <c r="M121">
        <f t="shared" si="26"/>
        <v>0.33699999999999997</v>
      </c>
      <c r="N121" s="19">
        <f t="shared" si="27"/>
        <v>69354.636601956096</v>
      </c>
      <c r="O121" s="19">
        <f t="shared" si="14"/>
        <v>69529.202601956087</v>
      </c>
      <c r="P121" s="22">
        <f t="shared" si="15"/>
        <v>0</v>
      </c>
      <c r="Q121" s="23">
        <f t="shared" si="16"/>
        <v>872.49299999999994</v>
      </c>
      <c r="R121" s="23">
        <f t="shared" si="17"/>
        <v>330.26</v>
      </c>
      <c r="S121" s="23">
        <f t="shared" si="18"/>
        <v>68151.883601956099</v>
      </c>
      <c r="T121" s="37">
        <f t="shared" si="19"/>
        <v>174.56599999999997</v>
      </c>
      <c r="U121" s="20">
        <f t="shared" si="20"/>
        <v>33290.225568938928</v>
      </c>
      <c r="V121" s="20">
        <f t="shared" si="21"/>
        <v>36064.411033017168</v>
      </c>
      <c r="W121" s="20">
        <f t="shared" si="22"/>
        <v>7614.6040186123901</v>
      </c>
      <c r="X121" s="35">
        <f t="shared" si="23"/>
        <v>37044.019550006225</v>
      </c>
      <c r="Y121" s="35">
        <f t="shared" si="24"/>
        <v>24696.013033337484</v>
      </c>
    </row>
    <row r="122" spans="1:25" x14ac:dyDescent="0.35">
      <c r="A122" t="str">
        <f t="shared" si="25"/>
        <v>CD62</v>
      </c>
      <c r="B122" t="s">
        <v>256</v>
      </c>
      <c r="C122" t="s">
        <v>257</v>
      </c>
      <c r="E122">
        <v>1</v>
      </c>
      <c r="F122">
        <v>206311.83232967748</v>
      </c>
      <c r="G122">
        <v>70791.216358648613</v>
      </c>
      <c r="H122">
        <v>0</v>
      </c>
      <c r="I122">
        <v>1907</v>
      </c>
      <c r="J122">
        <v>255</v>
      </c>
      <c r="K122">
        <v>382</v>
      </c>
      <c r="L122">
        <v>203767.83232967748</v>
      </c>
      <c r="M122">
        <f t="shared" si="26"/>
        <v>0.33699999999999997</v>
      </c>
      <c r="N122" s="19">
        <f t="shared" si="27"/>
        <v>69398.353495101299</v>
      </c>
      <c r="O122" s="19">
        <f t="shared" si="14"/>
        <v>69527.087495101296</v>
      </c>
      <c r="P122" s="22">
        <f t="shared" si="15"/>
        <v>0</v>
      </c>
      <c r="Q122" s="23">
        <f t="shared" si="16"/>
        <v>642.65899999999999</v>
      </c>
      <c r="R122" s="23">
        <f t="shared" si="17"/>
        <v>85.934999999999988</v>
      </c>
      <c r="S122" s="23">
        <f t="shared" si="18"/>
        <v>68669.759495101302</v>
      </c>
      <c r="T122" s="37">
        <f t="shared" si="19"/>
        <v>128.73399999999998</v>
      </c>
      <c r="U122" s="20">
        <f t="shared" si="20"/>
        <v>33311.209677648621</v>
      </c>
      <c r="V122" s="20">
        <f t="shared" si="21"/>
        <v>36087.143817452677</v>
      </c>
      <c r="W122" s="20">
        <f t="shared" si="22"/>
        <v>7619.4037961980666</v>
      </c>
      <c r="X122" s="35">
        <f t="shared" si="23"/>
        <v>37067.369819341948</v>
      </c>
      <c r="Y122" s="35">
        <f t="shared" si="24"/>
        <v>24711.579879561297</v>
      </c>
    </row>
    <row r="123" spans="1:25" x14ac:dyDescent="0.35">
      <c r="A123" t="str">
        <f t="shared" si="25"/>
        <v>CD62</v>
      </c>
      <c r="B123" t="s">
        <v>258</v>
      </c>
      <c r="C123" t="s">
        <v>259</v>
      </c>
      <c r="E123">
        <v>1</v>
      </c>
      <c r="F123">
        <v>388341.77770570287</v>
      </c>
      <c r="G123">
        <v>133250.65507021864</v>
      </c>
      <c r="H123">
        <v>0</v>
      </c>
      <c r="I123">
        <v>9217</v>
      </c>
      <c r="J123">
        <v>1916</v>
      </c>
      <c r="K123">
        <v>1843</v>
      </c>
      <c r="L123">
        <v>375365.77770570287</v>
      </c>
      <c r="M123">
        <f t="shared" si="26"/>
        <v>0.33699999999999997</v>
      </c>
      <c r="N123" s="19">
        <f t="shared" si="27"/>
        <v>130250.08808682185</v>
      </c>
      <c r="O123" s="19">
        <f t="shared" si="14"/>
        <v>130871.17908682185</v>
      </c>
      <c r="P123" s="22">
        <f t="shared" si="15"/>
        <v>0</v>
      </c>
      <c r="Q123" s="23">
        <f t="shared" si="16"/>
        <v>3106.1289999999999</v>
      </c>
      <c r="R123" s="23">
        <f t="shared" si="17"/>
        <v>645.69199999999989</v>
      </c>
      <c r="S123" s="23">
        <f t="shared" si="18"/>
        <v>126498.26708682186</v>
      </c>
      <c r="T123" s="37">
        <f t="shared" si="19"/>
        <v>621.09099999999989</v>
      </c>
      <c r="U123" s="20">
        <f t="shared" si="20"/>
        <v>62520.042281674483</v>
      </c>
      <c r="V123" s="20">
        <f t="shared" si="21"/>
        <v>67730.045805147369</v>
      </c>
      <c r="W123" s="20">
        <f t="shared" si="22"/>
        <v>14300.454775111006</v>
      </c>
      <c r="X123" s="35">
        <f t="shared" si="23"/>
        <v>69569.779987026515</v>
      </c>
      <c r="Y123" s="35">
        <f t="shared" si="24"/>
        <v>46379.853324684344</v>
      </c>
    </row>
    <row r="124" spans="1:25" x14ac:dyDescent="0.35">
      <c r="A124" t="str">
        <f t="shared" si="25"/>
        <v>CD62</v>
      </c>
      <c r="B124" t="s">
        <v>260</v>
      </c>
      <c r="C124" t="s">
        <v>261</v>
      </c>
      <c r="E124">
        <v>1</v>
      </c>
      <c r="F124">
        <v>388691.1573741007</v>
      </c>
      <c r="G124">
        <v>133370.53676298234</v>
      </c>
      <c r="H124">
        <v>0</v>
      </c>
      <c r="I124">
        <v>52081</v>
      </c>
      <c r="J124">
        <v>4704</v>
      </c>
      <c r="K124">
        <v>10416</v>
      </c>
      <c r="L124">
        <v>321490.1573741007</v>
      </c>
      <c r="M124">
        <f t="shared" si="26"/>
        <v>0.33699999999999997</v>
      </c>
      <c r="N124" s="19">
        <f t="shared" si="27"/>
        <v>127478.72803507192</v>
      </c>
      <c r="O124" s="19">
        <f t="shared" si="14"/>
        <v>130988.92003507192</v>
      </c>
      <c r="P124" s="22">
        <f t="shared" si="15"/>
        <v>0</v>
      </c>
      <c r="Q124" s="23">
        <f t="shared" si="16"/>
        <v>17551.296999999999</v>
      </c>
      <c r="R124" s="23">
        <f t="shared" si="17"/>
        <v>1585.2479999999998</v>
      </c>
      <c r="S124" s="23">
        <f t="shared" si="18"/>
        <v>108342.18303507192</v>
      </c>
      <c r="T124" s="37">
        <f t="shared" si="19"/>
        <v>3510.1919999999996</v>
      </c>
      <c r="U124" s="20">
        <f t="shared" si="20"/>
        <v>61189.789456834522</v>
      </c>
      <c r="V124" s="20">
        <f t="shared" si="21"/>
        <v>66288.938578237401</v>
      </c>
      <c r="W124" s="20">
        <f t="shared" si="22"/>
        <v>13996.180822841725</v>
      </c>
      <c r="X124" s="35">
        <f t="shared" si="23"/>
        <v>68089.528327338121</v>
      </c>
      <c r="Y124" s="35">
        <f t="shared" si="24"/>
        <v>45393.018884892081</v>
      </c>
    </row>
    <row r="125" spans="1:25" x14ac:dyDescent="0.35">
      <c r="A125" t="str">
        <f t="shared" si="25"/>
        <v>CD62</v>
      </c>
      <c r="B125" t="s">
        <v>262</v>
      </c>
      <c r="C125" t="s">
        <v>263</v>
      </c>
      <c r="E125">
        <v>1</v>
      </c>
      <c r="F125">
        <v>227008.9165180616</v>
      </c>
      <c r="G125">
        <v>77892.950409615616</v>
      </c>
      <c r="H125">
        <v>0</v>
      </c>
      <c r="I125">
        <v>38393</v>
      </c>
      <c r="J125">
        <v>4164</v>
      </c>
      <c r="K125">
        <v>7679</v>
      </c>
      <c r="L125">
        <v>176772.9165180616</v>
      </c>
      <c r="M125">
        <f t="shared" si="26"/>
        <v>0.33699999999999997</v>
      </c>
      <c r="N125" s="19">
        <f t="shared" si="27"/>
        <v>73914.181866586747</v>
      </c>
      <c r="O125" s="19">
        <f t="shared" si="14"/>
        <v>76502.004866586751</v>
      </c>
      <c r="P125" s="22">
        <f t="shared" si="15"/>
        <v>0</v>
      </c>
      <c r="Q125" s="23">
        <f t="shared" si="16"/>
        <v>12938.440999999999</v>
      </c>
      <c r="R125" s="23">
        <f t="shared" si="17"/>
        <v>1403.2679999999998</v>
      </c>
      <c r="S125" s="23">
        <f t="shared" si="18"/>
        <v>59572.472866586751</v>
      </c>
      <c r="T125" s="37">
        <f t="shared" si="19"/>
        <v>2587.8229999999999</v>
      </c>
      <c r="U125" s="20">
        <f t="shared" si="20"/>
        <v>35478.80729596164</v>
      </c>
      <c r="V125" s="20">
        <f t="shared" si="21"/>
        <v>38435.374570625107</v>
      </c>
      <c r="W125" s="20">
        <f t="shared" si="22"/>
        <v>8115.2069111682786</v>
      </c>
      <c r="X125" s="35">
        <f t="shared" si="23"/>
        <v>39479.384973251086</v>
      </c>
      <c r="Y125" s="35">
        <f t="shared" si="24"/>
        <v>26319.589982167392</v>
      </c>
    </row>
    <row r="126" spans="1:25" x14ac:dyDescent="0.35">
      <c r="A126" t="str">
        <f t="shared" si="25"/>
        <v>CD62</v>
      </c>
      <c r="B126" t="s">
        <v>264</v>
      </c>
      <c r="C126" t="s">
        <v>265</v>
      </c>
      <c r="E126">
        <v>1</v>
      </c>
      <c r="F126">
        <v>99915.262833411762</v>
      </c>
      <c r="G126">
        <v>34283.651639857213</v>
      </c>
      <c r="H126">
        <v>0</v>
      </c>
      <c r="I126">
        <v>3377</v>
      </c>
      <c r="J126">
        <v>2962</v>
      </c>
      <c r="K126">
        <v>676</v>
      </c>
      <c r="L126">
        <v>92900.262833411762</v>
      </c>
      <c r="M126">
        <f t="shared" si="26"/>
        <v>0.33699999999999997</v>
      </c>
      <c r="N126" s="19">
        <f t="shared" si="27"/>
        <v>33443.631574859763</v>
      </c>
      <c r="O126" s="19">
        <f t="shared" si="14"/>
        <v>33671.443574859761</v>
      </c>
      <c r="P126" s="22">
        <f t="shared" si="15"/>
        <v>0</v>
      </c>
      <c r="Q126" s="23">
        <f t="shared" si="16"/>
        <v>1138.049</v>
      </c>
      <c r="R126" s="23">
        <f t="shared" si="17"/>
        <v>998.19399999999985</v>
      </c>
      <c r="S126" s="23">
        <f t="shared" si="18"/>
        <v>31307.38857485976</v>
      </c>
      <c r="T126" s="37">
        <f t="shared" si="19"/>
        <v>227.81199999999998</v>
      </c>
      <c r="U126" s="20">
        <f t="shared" si="20"/>
        <v>16052.943155932686</v>
      </c>
      <c r="V126" s="20">
        <f t="shared" si="21"/>
        <v>17390.688418927079</v>
      </c>
      <c r="W126" s="20">
        <f t="shared" si="22"/>
        <v>3671.8527248362352</v>
      </c>
      <c r="X126" s="35">
        <f t="shared" si="23"/>
        <v>17863.067310014118</v>
      </c>
      <c r="Y126" s="35">
        <f t="shared" si="24"/>
        <v>11908.711540009412</v>
      </c>
    </row>
    <row r="127" spans="1:25" x14ac:dyDescent="0.35">
      <c r="A127" t="str">
        <f t="shared" si="25"/>
        <v>CD62</v>
      </c>
      <c r="B127" t="s">
        <v>266</v>
      </c>
      <c r="C127" t="s">
        <v>267</v>
      </c>
      <c r="E127">
        <v>1</v>
      </c>
      <c r="F127">
        <v>237235.07112362323</v>
      </c>
      <c r="G127">
        <v>81401.822949909401</v>
      </c>
      <c r="H127">
        <v>0</v>
      </c>
      <c r="I127">
        <v>20750</v>
      </c>
      <c r="J127">
        <v>2502</v>
      </c>
      <c r="K127">
        <v>4150</v>
      </c>
      <c r="L127">
        <v>209833.07112362323</v>
      </c>
      <c r="M127">
        <f t="shared" si="26"/>
        <v>0.33699999999999997</v>
      </c>
      <c r="N127" s="19">
        <f t="shared" si="27"/>
        <v>78549.668968661019</v>
      </c>
      <c r="O127" s="19">
        <f t="shared" si="14"/>
        <v>79948.218968661022</v>
      </c>
      <c r="P127" s="22">
        <f t="shared" si="15"/>
        <v>0</v>
      </c>
      <c r="Q127" s="23">
        <f t="shared" si="16"/>
        <v>6992.7499999999991</v>
      </c>
      <c r="R127" s="23">
        <f t="shared" si="17"/>
        <v>843.17399999999986</v>
      </c>
      <c r="S127" s="23">
        <f t="shared" si="18"/>
        <v>70713.74496866102</v>
      </c>
      <c r="T127" s="37">
        <f t="shared" si="19"/>
        <v>1398.55</v>
      </c>
      <c r="U127" s="20">
        <f t="shared" si="20"/>
        <v>37703.84110495729</v>
      </c>
      <c r="V127" s="20">
        <f t="shared" si="21"/>
        <v>40845.827863703729</v>
      </c>
      <c r="W127" s="20">
        <f t="shared" si="22"/>
        <v>8624.1476315740583</v>
      </c>
      <c r="X127" s="35">
        <f t="shared" si="23"/>
        <v>41955.312802252178</v>
      </c>
      <c r="Y127" s="35">
        <f t="shared" si="24"/>
        <v>27970.208534834786</v>
      </c>
    </row>
    <row r="128" spans="1:25" x14ac:dyDescent="0.35">
      <c r="A128" t="str">
        <f t="shared" si="25"/>
        <v>CD62</v>
      </c>
      <c r="B128" t="s">
        <v>268</v>
      </c>
      <c r="C128" t="s">
        <v>269</v>
      </c>
      <c r="E128">
        <v>1</v>
      </c>
      <c r="F128">
        <v>111303.57555750647</v>
      </c>
      <c r="G128">
        <v>38191.292325841132</v>
      </c>
      <c r="H128">
        <v>0</v>
      </c>
      <c r="I128">
        <v>1105</v>
      </c>
      <c r="J128">
        <v>204</v>
      </c>
      <c r="K128">
        <v>221</v>
      </c>
      <c r="L128">
        <v>109773.57555750647</v>
      </c>
      <c r="M128">
        <f t="shared" si="26"/>
        <v>0.33699999999999997</v>
      </c>
      <c r="N128" s="19">
        <f t="shared" si="27"/>
        <v>37434.827962879681</v>
      </c>
      <c r="O128" s="19">
        <f t="shared" si="14"/>
        <v>37509.304962879673</v>
      </c>
      <c r="P128" s="22">
        <f t="shared" si="15"/>
        <v>0</v>
      </c>
      <c r="Q128" s="23">
        <f t="shared" si="16"/>
        <v>372.38499999999999</v>
      </c>
      <c r="R128" s="23">
        <f t="shared" si="17"/>
        <v>68.74799999999999</v>
      </c>
      <c r="S128" s="23">
        <f t="shared" si="18"/>
        <v>36993.694962879679</v>
      </c>
      <c r="T128" s="37">
        <f t="shared" si="19"/>
        <v>74.47699999999999</v>
      </c>
      <c r="U128" s="20">
        <f t="shared" si="20"/>
        <v>17968.717422182246</v>
      </c>
      <c r="V128" s="20">
        <f t="shared" si="21"/>
        <v>19466.110540697435</v>
      </c>
      <c r="W128" s="20">
        <f t="shared" si="22"/>
        <v>4110.0552956277388</v>
      </c>
      <c r="X128" s="35">
        <f t="shared" si="23"/>
        <v>19994.863600351164</v>
      </c>
      <c r="Y128" s="35">
        <f t="shared" si="24"/>
        <v>13329.909066900776</v>
      </c>
    </row>
    <row r="129" spans="1:25" x14ac:dyDescent="0.35">
      <c r="A129" t="str">
        <f t="shared" si="25"/>
        <v>CD62</v>
      </c>
      <c r="B129" t="s">
        <v>270</v>
      </c>
      <c r="C129" t="s">
        <v>271</v>
      </c>
      <c r="E129">
        <v>1</v>
      </c>
      <c r="F129">
        <v>232933.72622406622</v>
      </c>
      <c r="G129">
        <v>79925.914205465044</v>
      </c>
      <c r="H129">
        <v>0</v>
      </c>
      <c r="I129">
        <v>8881</v>
      </c>
      <c r="J129">
        <v>4834</v>
      </c>
      <c r="K129">
        <v>1776</v>
      </c>
      <c r="L129">
        <v>217442.72622406622</v>
      </c>
      <c r="M129">
        <f t="shared" si="26"/>
        <v>0.33699999999999997</v>
      </c>
      <c r="N129" s="19">
        <f t="shared" si="27"/>
        <v>77900.153737510307</v>
      </c>
      <c r="O129" s="19">
        <f t="shared" si="14"/>
        <v>78498.66573751031</v>
      </c>
      <c r="P129" s="22">
        <f t="shared" si="15"/>
        <v>0</v>
      </c>
      <c r="Q129" s="23">
        <f t="shared" si="16"/>
        <v>2992.8969999999995</v>
      </c>
      <c r="R129" s="23">
        <f t="shared" si="17"/>
        <v>1629.0579999999998</v>
      </c>
      <c r="S129" s="23">
        <f t="shared" si="18"/>
        <v>73278.198737510305</v>
      </c>
      <c r="T129" s="37">
        <f t="shared" si="19"/>
        <v>598.51199999999994</v>
      </c>
      <c r="U129" s="20">
        <f t="shared" si="20"/>
        <v>37392.073794004944</v>
      </c>
      <c r="V129" s="20">
        <f t="shared" si="21"/>
        <v>40508.079943505363</v>
      </c>
      <c r="W129" s="20">
        <f t="shared" si="22"/>
        <v>8552.8358702904497</v>
      </c>
      <c r="X129" s="35">
        <f t="shared" si="23"/>
        <v>41608.390720331918</v>
      </c>
      <c r="Y129" s="35">
        <f t="shared" si="24"/>
        <v>27738.927146887945</v>
      </c>
    </row>
    <row r="130" spans="1:25" x14ac:dyDescent="0.35">
      <c r="A130" t="str">
        <f t="shared" si="25"/>
        <v>CD62</v>
      </c>
      <c r="B130" t="s">
        <v>272</v>
      </c>
      <c r="C130" t="s">
        <v>273</v>
      </c>
      <c r="E130">
        <v>1</v>
      </c>
      <c r="F130">
        <v>178550.79334880583</v>
      </c>
      <c r="G130">
        <v>61265.646765066609</v>
      </c>
      <c r="H130">
        <v>0</v>
      </c>
      <c r="I130">
        <v>12188</v>
      </c>
      <c r="J130">
        <v>1797</v>
      </c>
      <c r="K130">
        <v>2438</v>
      </c>
      <c r="L130">
        <v>162127.79334880583</v>
      </c>
      <c r="M130">
        <f t="shared" si="26"/>
        <v>0.33699999999999997</v>
      </c>
      <c r="N130" s="19">
        <f t="shared" si="27"/>
        <v>59350.011358547563</v>
      </c>
      <c r="O130" s="19">
        <f t="shared" ref="O130:O193" si="28">F130*M130</f>
        <v>60171.617358547563</v>
      </c>
      <c r="P130" s="22">
        <f t="shared" ref="P130:P193" si="29">H130*M130</f>
        <v>0</v>
      </c>
      <c r="Q130" s="23">
        <f t="shared" ref="Q130:Q193" si="30">I130*M130</f>
        <v>4107.3559999999998</v>
      </c>
      <c r="R130" s="23">
        <f t="shared" ref="R130:R193" si="31">J130*M130</f>
        <v>605.58899999999994</v>
      </c>
      <c r="S130" s="23">
        <f t="shared" ref="S130:S193" si="32">L130*M130</f>
        <v>54637.066358547563</v>
      </c>
      <c r="T130" s="37">
        <f t="shared" ref="T130:T193" si="33">K130*M130</f>
        <v>821.60599999999988</v>
      </c>
      <c r="U130" s="20">
        <f t="shared" ref="U130:U193" si="34">N130*0.48</f>
        <v>28488.005452102829</v>
      </c>
      <c r="V130" s="20">
        <f t="shared" ref="V130:V193" si="35">N130*0.52</f>
        <v>30862.005906444734</v>
      </c>
      <c r="W130" s="20">
        <f t="shared" ref="W130:W193" si="36">(F130-K130)*0.037</f>
        <v>6516.1733539058159</v>
      </c>
      <c r="X130" s="35">
        <f t="shared" ref="X130:X193" si="37">(F130-K130)*0.18</f>
        <v>31700.302802785049</v>
      </c>
      <c r="Y130" s="35">
        <f t="shared" ref="Y130:Y193" si="38">(F130-K130)*0.12</f>
        <v>21133.535201856699</v>
      </c>
    </row>
    <row r="131" spans="1:25" x14ac:dyDescent="0.35">
      <c r="A131" t="str">
        <f t="shared" ref="A131:A194" si="39">LEFT(C131,2) &amp; LEFT(MID(C131,3,LEN(C131)-2),2)</f>
        <v>CD62</v>
      </c>
      <c r="B131" t="s">
        <v>274</v>
      </c>
      <c r="C131" t="s">
        <v>275</v>
      </c>
      <c r="E131">
        <v>1</v>
      </c>
      <c r="F131">
        <v>162249.19828200215</v>
      </c>
      <c r="G131">
        <v>55672.124908689897</v>
      </c>
      <c r="H131">
        <v>0</v>
      </c>
      <c r="I131">
        <v>6901</v>
      </c>
      <c r="J131">
        <v>557</v>
      </c>
      <c r="K131">
        <v>1380</v>
      </c>
      <c r="L131">
        <v>153411.19828200215</v>
      </c>
      <c r="M131">
        <f t="shared" ref="M131:M194" si="40">0.037+0.12+0.18</f>
        <v>0.33699999999999997</v>
      </c>
      <c r="N131" s="19">
        <f t="shared" ref="N131:N194" si="41">SUM(P131:S131)</f>
        <v>54212.919821034717</v>
      </c>
      <c r="O131" s="19">
        <f t="shared" si="28"/>
        <v>54677.979821034722</v>
      </c>
      <c r="P131" s="22">
        <f t="shared" si="29"/>
        <v>0</v>
      </c>
      <c r="Q131" s="23">
        <f t="shared" si="30"/>
        <v>2325.6369999999997</v>
      </c>
      <c r="R131" s="23">
        <f t="shared" si="31"/>
        <v>187.70899999999997</v>
      </c>
      <c r="S131" s="23">
        <f t="shared" si="32"/>
        <v>51699.573821034719</v>
      </c>
      <c r="T131" s="37">
        <f t="shared" si="33"/>
        <v>465.05999999999995</v>
      </c>
      <c r="U131" s="20">
        <f t="shared" si="34"/>
        <v>26022.201514096661</v>
      </c>
      <c r="V131" s="20">
        <f t="shared" si="35"/>
        <v>28190.718306938055</v>
      </c>
      <c r="W131" s="20">
        <f t="shared" si="36"/>
        <v>5952.160336434079</v>
      </c>
      <c r="X131" s="35">
        <f t="shared" si="37"/>
        <v>28956.455690760387</v>
      </c>
      <c r="Y131" s="35">
        <f t="shared" si="38"/>
        <v>19304.303793840256</v>
      </c>
    </row>
    <row r="132" spans="1:25" x14ac:dyDescent="0.35">
      <c r="A132" t="str">
        <f t="shared" si="39"/>
        <v>CD62</v>
      </c>
      <c r="B132" t="s">
        <v>276</v>
      </c>
      <c r="C132" t="s">
        <v>277</v>
      </c>
      <c r="E132">
        <v>1</v>
      </c>
      <c r="F132">
        <v>164205.30600626566</v>
      </c>
      <c r="G132">
        <v>56343.318817277192</v>
      </c>
      <c r="H132">
        <v>0</v>
      </c>
      <c r="I132">
        <v>16480</v>
      </c>
      <c r="J132">
        <v>714</v>
      </c>
      <c r="K132">
        <v>3296</v>
      </c>
      <c r="L132">
        <v>143715.30600626566</v>
      </c>
      <c r="M132">
        <f t="shared" si="40"/>
        <v>0.33699999999999997</v>
      </c>
      <c r="N132" s="19">
        <f t="shared" si="41"/>
        <v>54226.436124111518</v>
      </c>
      <c r="O132" s="19">
        <f t="shared" si="28"/>
        <v>55337.188124111519</v>
      </c>
      <c r="P132" s="22">
        <f t="shared" si="29"/>
        <v>0</v>
      </c>
      <c r="Q132" s="23">
        <f t="shared" si="30"/>
        <v>5553.7599999999993</v>
      </c>
      <c r="R132" s="23">
        <f t="shared" si="31"/>
        <v>240.61799999999997</v>
      </c>
      <c r="S132" s="23">
        <f t="shared" si="32"/>
        <v>48432.058124111521</v>
      </c>
      <c r="T132" s="37">
        <f t="shared" si="33"/>
        <v>1110.752</v>
      </c>
      <c r="U132" s="20">
        <f t="shared" si="34"/>
        <v>26028.689339573528</v>
      </c>
      <c r="V132" s="20">
        <f t="shared" si="35"/>
        <v>28197.746784537991</v>
      </c>
      <c r="W132" s="20">
        <f t="shared" si="36"/>
        <v>5953.6443222318294</v>
      </c>
      <c r="X132" s="35">
        <f t="shared" si="37"/>
        <v>28963.675081127818</v>
      </c>
      <c r="Y132" s="35">
        <f t="shared" si="38"/>
        <v>19309.116720751877</v>
      </c>
    </row>
    <row r="133" spans="1:25" x14ac:dyDescent="0.35">
      <c r="A133" t="str">
        <f t="shared" si="39"/>
        <v>CD63</v>
      </c>
      <c r="B133" t="s">
        <v>278</v>
      </c>
      <c r="C133" t="s">
        <v>279</v>
      </c>
      <c r="E133">
        <v>1</v>
      </c>
      <c r="F133">
        <v>107244.5474907257</v>
      </c>
      <c r="G133">
        <v>36798.529095363185</v>
      </c>
      <c r="H133">
        <v>0</v>
      </c>
      <c r="I133">
        <v>0</v>
      </c>
      <c r="J133">
        <v>0</v>
      </c>
      <c r="K133">
        <v>0</v>
      </c>
      <c r="L133">
        <v>107244.5474907257</v>
      </c>
      <c r="M133">
        <f t="shared" si="40"/>
        <v>0.33699999999999997</v>
      </c>
      <c r="N133" s="19">
        <f t="shared" si="41"/>
        <v>36141.412504374559</v>
      </c>
      <c r="O133" s="19">
        <f t="shared" si="28"/>
        <v>36141.412504374559</v>
      </c>
      <c r="P133" s="22">
        <f t="shared" si="29"/>
        <v>0</v>
      </c>
      <c r="Q133" s="23">
        <f t="shared" si="30"/>
        <v>0</v>
      </c>
      <c r="R133" s="23">
        <f t="shared" si="31"/>
        <v>0</v>
      </c>
      <c r="S133" s="23">
        <f t="shared" si="32"/>
        <v>36141.412504374559</v>
      </c>
      <c r="T133" s="37">
        <f t="shared" si="33"/>
        <v>0</v>
      </c>
      <c r="U133" s="20">
        <f t="shared" si="34"/>
        <v>17347.878002099787</v>
      </c>
      <c r="V133" s="20">
        <f t="shared" si="35"/>
        <v>18793.534502274772</v>
      </c>
      <c r="W133" s="20">
        <f t="shared" si="36"/>
        <v>3968.0482571568509</v>
      </c>
      <c r="X133" s="35">
        <f t="shared" si="37"/>
        <v>19304.018548330627</v>
      </c>
      <c r="Y133" s="35">
        <f t="shared" si="38"/>
        <v>12869.345698887084</v>
      </c>
    </row>
    <row r="134" spans="1:25" x14ac:dyDescent="0.35">
      <c r="A134" t="str">
        <f t="shared" si="39"/>
        <v>CD63</v>
      </c>
      <c r="B134" t="s">
        <v>280</v>
      </c>
      <c r="C134" t="s">
        <v>281</v>
      </c>
      <c r="E134">
        <v>1</v>
      </c>
      <c r="F134">
        <v>244914.68842580728</v>
      </c>
      <c r="G134">
        <v>84036.909090396992</v>
      </c>
      <c r="H134">
        <v>0</v>
      </c>
      <c r="I134">
        <v>0</v>
      </c>
      <c r="J134">
        <v>0</v>
      </c>
      <c r="K134">
        <v>0</v>
      </c>
      <c r="L134">
        <v>244914.68842580728</v>
      </c>
      <c r="M134">
        <f t="shared" si="40"/>
        <v>0.33699999999999997</v>
      </c>
      <c r="N134" s="19">
        <f t="shared" si="41"/>
        <v>82536.249999497042</v>
      </c>
      <c r="O134" s="19">
        <f t="shared" si="28"/>
        <v>82536.249999497042</v>
      </c>
      <c r="P134" s="22">
        <f t="shared" si="29"/>
        <v>0</v>
      </c>
      <c r="Q134" s="23">
        <f t="shared" si="30"/>
        <v>0</v>
      </c>
      <c r="R134" s="23">
        <f t="shared" si="31"/>
        <v>0</v>
      </c>
      <c r="S134" s="23">
        <f t="shared" si="32"/>
        <v>82536.249999497042</v>
      </c>
      <c r="T134" s="37">
        <f t="shared" si="33"/>
        <v>0</v>
      </c>
      <c r="U134" s="20">
        <f t="shared" si="34"/>
        <v>39617.399999758578</v>
      </c>
      <c r="V134" s="20">
        <f t="shared" si="35"/>
        <v>42918.849999738464</v>
      </c>
      <c r="W134" s="20">
        <f t="shared" si="36"/>
        <v>9061.8434717548698</v>
      </c>
      <c r="X134" s="35">
        <f t="shared" si="37"/>
        <v>44084.643916645306</v>
      </c>
      <c r="Y134" s="35">
        <f t="shared" si="38"/>
        <v>29389.762611096874</v>
      </c>
    </row>
    <row r="135" spans="1:25" x14ac:dyDescent="0.35">
      <c r="A135" t="str">
        <f t="shared" si="39"/>
        <v>CD63</v>
      </c>
      <c r="B135" t="s">
        <v>282</v>
      </c>
      <c r="C135" t="s">
        <v>283</v>
      </c>
      <c r="E135">
        <v>1</v>
      </c>
      <c r="F135">
        <v>191510.64387047381</v>
      </c>
      <c r="G135">
        <v>65712.52492951967</v>
      </c>
      <c r="H135">
        <v>0</v>
      </c>
      <c r="I135">
        <v>0</v>
      </c>
      <c r="J135">
        <v>0</v>
      </c>
      <c r="K135">
        <v>0</v>
      </c>
      <c r="L135">
        <v>191510.64387047381</v>
      </c>
      <c r="M135">
        <f t="shared" si="40"/>
        <v>0.33699999999999997</v>
      </c>
      <c r="N135" s="19">
        <f t="shared" si="41"/>
        <v>64539.086984349669</v>
      </c>
      <c r="O135" s="19">
        <f t="shared" si="28"/>
        <v>64539.086984349669</v>
      </c>
      <c r="P135" s="22">
        <f t="shared" si="29"/>
        <v>0</v>
      </c>
      <c r="Q135" s="23">
        <f t="shared" si="30"/>
        <v>0</v>
      </c>
      <c r="R135" s="23">
        <f t="shared" si="31"/>
        <v>0</v>
      </c>
      <c r="S135" s="23">
        <f t="shared" si="32"/>
        <v>64539.086984349669</v>
      </c>
      <c r="T135" s="37">
        <f t="shared" si="33"/>
        <v>0</v>
      </c>
      <c r="U135" s="20">
        <f t="shared" si="34"/>
        <v>30978.761752487841</v>
      </c>
      <c r="V135" s="20">
        <f t="shared" si="35"/>
        <v>33560.325231861832</v>
      </c>
      <c r="W135" s="20">
        <f t="shared" si="36"/>
        <v>7085.8938232075307</v>
      </c>
      <c r="X135" s="35">
        <f t="shared" si="37"/>
        <v>34471.915896685285</v>
      </c>
      <c r="Y135" s="35">
        <f t="shared" si="38"/>
        <v>22981.277264456858</v>
      </c>
    </row>
    <row r="136" spans="1:25" x14ac:dyDescent="0.35">
      <c r="A136" t="str">
        <f t="shared" si="39"/>
        <v>CD63</v>
      </c>
      <c r="B136" t="s">
        <v>284</v>
      </c>
      <c r="C136" t="s">
        <v>285</v>
      </c>
      <c r="E136">
        <v>1</v>
      </c>
      <c r="F136">
        <v>96268.132042355515</v>
      </c>
      <c r="G136">
        <v>33032.221598242424</v>
      </c>
      <c r="H136">
        <v>0</v>
      </c>
      <c r="I136">
        <v>0</v>
      </c>
      <c r="J136">
        <v>0</v>
      </c>
      <c r="K136">
        <v>0</v>
      </c>
      <c r="L136">
        <v>96268.132042355515</v>
      </c>
      <c r="M136">
        <f t="shared" si="40"/>
        <v>0.33699999999999997</v>
      </c>
      <c r="N136" s="19">
        <f t="shared" si="41"/>
        <v>32442.360498273807</v>
      </c>
      <c r="O136" s="19">
        <f t="shared" si="28"/>
        <v>32442.360498273807</v>
      </c>
      <c r="P136" s="22">
        <f t="shared" si="29"/>
        <v>0</v>
      </c>
      <c r="Q136" s="23">
        <f t="shared" si="30"/>
        <v>0</v>
      </c>
      <c r="R136" s="23">
        <f t="shared" si="31"/>
        <v>0</v>
      </c>
      <c r="S136" s="23">
        <f t="shared" si="32"/>
        <v>32442.360498273807</v>
      </c>
      <c r="T136" s="37">
        <f t="shared" si="33"/>
        <v>0</v>
      </c>
      <c r="U136" s="20">
        <f t="shared" si="34"/>
        <v>15572.333039171426</v>
      </c>
      <c r="V136" s="20">
        <f t="shared" si="35"/>
        <v>16870.027459102381</v>
      </c>
      <c r="W136" s="20">
        <f t="shared" si="36"/>
        <v>3561.9208855671541</v>
      </c>
      <c r="X136" s="35">
        <f t="shared" si="37"/>
        <v>17328.263767623994</v>
      </c>
      <c r="Y136" s="35">
        <f t="shared" si="38"/>
        <v>11552.175845082662</v>
      </c>
    </row>
    <row r="137" spans="1:25" x14ac:dyDescent="0.35">
      <c r="A137" t="str">
        <f t="shared" si="39"/>
        <v>CD63</v>
      </c>
      <c r="B137" t="s">
        <v>286</v>
      </c>
      <c r="C137" t="s">
        <v>287</v>
      </c>
      <c r="E137">
        <v>1</v>
      </c>
      <c r="F137">
        <v>134307.24621039923</v>
      </c>
      <c r="G137">
        <v>46084.47909968462</v>
      </c>
      <c r="H137">
        <v>0</v>
      </c>
      <c r="I137">
        <v>50192</v>
      </c>
      <c r="J137">
        <v>0</v>
      </c>
      <c r="K137">
        <v>10038</v>
      </c>
      <c r="L137">
        <v>74077.246210399229</v>
      </c>
      <c r="M137">
        <f t="shared" si="40"/>
        <v>0.33699999999999997</v>
      </c>
      <c r="N137" s="19">
        <f t="shared" si="41"/>
        <v>41878.735972904535</v>
      </c>
      <c r="O137" s="19">
        <f t="shared" si="28"/>
        <v>45261.541972904539</v>
      </c>
      <c r="P137" s="22">
        <f t="shared" si="29"/>
        <v>0</v>
      </c>
      <c r="Q137" s="23">
        <f t="shared" si="30"/>
        <v>16914.703999999998</v>
      </c>
      <c r="R137" s="23">
        <f t="shared" si="31"/>
        <v>0</v>
      </c>
      <c r="S137" s="23">
        <f t="shared" si="32"/>
        <v>24964.031972904537</v>
      </c>
      <c r="T137" s="37">
        <f t="shared" si="33"/>
        <v>3382.8059999999996</v>
      </c>
      <c r="U137" s="20">
        <f t="shared" si="34"/>
        <v>20101.793266994177</v>
      </c>
      <c r="V137" s="20">
        <f t="shared" si="35"/>
        <v>21776.942705910358</v>
      </c>
      <c r="W137" s="20">
        <f t="shared" si="36"/>
        <v>4597.9621097847712</v>
      </c>
      <c r="X137" s="35">
        <f t="shared" si="37"/>
        <v>22368.464317871862</v>
      </c>
      <c r="Y137" s="35">
        <f t="shared" si="38"/>
        <v>14912.309545247906</v>
      </c>
    </row>
    <row r="138" spans="1:25" x14ac:dyDescent="0.35">
      <c r="A138" t="str">
        <f t="shared" si="39"/>
        <v>CD63</v>
      </c>
      <c r="B138" t="s">
        <v>288</v>
      </c>
      <c r="C138" t="s">
        <v>289</v>
      </c>
      <c r="E138">
        <v>1</v>
      </c>
      <c r="F138">
        <v>161436.04045499026</v>
      </c>
      <c r="G138">
        <v>55393.108281210472</v>
      </c>
      <c r="H138">
        <v>0</v>
      </c>
      <c r="I138">
        <v>47905</v>
      </c>
      <c r="J138">
        <v>0</v>
      </c>
      <c r="K138">
        <v>9581</v>
      </c>
      <c r="L138">
        <v>103950.04045499026</v>
      </c>
      <c r="M138">
        <f t="shared" si="40"/>
        <v>0.33699999999999997</v>
      </c>
      <c r="N138" s="19">
        <f t="shared" si="41"/>
        <v>51175.148633331715</v>
      </c>
      <c r="O138" s="19">
        <f t="shared" si="28"/>
        <v>54403.945633331714</v>
      </c>
      <c r="P138" s="22">
        <f t="shared" si="29"/>
        <v>0</v>
      </c>
      <c r="Q138" s="23">
        <f t="shared" si="30"/>
        <v>16143.984999999999</v>
      </c>
      <c r="R138" s="23">
        <f t="shared" si="31"/>
        <v>0</v>
      </c>
      <c r="S138" s="23">
        <f t="shared" si="32"/>
        <v>35031.163633331715</v>
      </c>
      <c r="T138" s="37">
        <f t="shared" si="33"/>
        <v>3228.7969999999996</v>
      </c>
      <c r="U138" s="20">
        <f t="shared" si="34"/>
        <v>24564.071343999221</v>
      </c>
      <c r="V138" s="20">
        <f t="shared" si="35"/>
        <v>26611.077289332494</v>
      </c>
      <c r="W138" s="20">
        <f t="shared" si="36"/>
        <v>5618.6364968346397</v>
      </c>
      <c r="X138" s="35">
        <f t="shared" si="37"/>
        <v>27333.907281898246</v>
      </c>
      <c r="Y138" s="35">
        <f t="shared" si="38"/>
        <v>18222.604854598831</v>
      </c>
    </row>
    <row r="139" spans="1:25" x14ac:dyDescent="0.35">
      <c r="A139" t="str">
        <f t="shared" si="39"/>
        <v>CD63</v>
      </c>
      <c r="B139" t="s">
        <v>290</v>
      </c>
      <c r="C139" t="s">
        <v>291</v>
      </c>
      <c r="E139">
        <v>1</v>
      </c>
      <c r="F139">
        <v>109089.52429833694</v>
      </c>
      <c r="G139">
        <v>37431.590955603904</v>
      </c>
      <c r="H139">
        <v>0</v>
      </c>
      <c r="I139">
        <v>30602</v>
      </c>
      <c r="J139">
        <v>0</v>
      </c>
      <c r="K139">
        <v>6120</v>
      </c>
      <c r="L139">
        <v>72367.524298336939</v>
      </c>
      <c r="M139">
        <f t="shared" si="40"/>
        <v>0.33699999999999997</v>
      </c>
      <c r="N139" s="19">
        <f t="shared" si="41"/>
        <v>34700.729688539548</v>
      </c>
      <c r="O139" s="19">
        <f t="shared" si="28"/>
        <v>36763.169688539543</v>
      </c>
      <c r="P139" s="22">
        <f t="shared" si="29"/>
        <v>0</v>
      </c>
      <c r="Q139" s="23">
        <f t="shared" si="30"/>
        <v>10312.874</v>
      </c>
      <c r="R139" s="23">
        <f t="shared" si="31"/>
        <v>0</v>
      </c>
      <c r="S139" s="23">
        <f t="shared" si="32"/>
        <v>24387.855688539545</v>
      </c>
      <c r="T139" s="37">
        <f t="shared" si="33"/>
        <v>2062.4399999999996</v>
      </c>
      <c r="U139" s="20">
        <f t="shared" si="34"/>
        <v>16656.350250498981</v>
      </c>
      <c r="V139" s="20">
        <f t="shared" si="35"/>
        <v>18044.379438040567</v>
      </c>
      <c r="W139" s="20">
        <f t="shared" si="36"/>
        <v>3809.8723990384665</v>
      </c>
      <c r="X139" s="35">
        <f t="shared" si="37"/>
        <v>18534.514373700647</v>
      </c>
      <c r="Y139" s="35">
        <f t="shared" si="38"/>
        <v>12356.342915800433</v>
      </c>
    </row>
    <row r="140" spans="1:25" x14ac:dyDescent="0.35">
      <c r="A140" t="str">
        <f t="shared" si="39"/>
        <v>CD63</v>
      </c>
      <c r="B140" t="s">
        <v>292</v>
      </c>
      <c r="C140" t="s">
        <v>293</v>
      </c>
      <c r="E140">
        <v>1</v>
      </c>
      <c r="F140">
        <v>195111.71040046235</v>
      </c>
      <c r="G140">
        <v>66948.149066864105</v>
      </c>
      <c r="H140">
        <v>0</v>
      </c>
      <c r="I140">
        <v>0</v>
      </c>
      <c r="J140">
        <v>0</v>
      </c>
      <c r="K140">
        <v>0</v>
      </c>
      <c r="L140">
        <v>195111.71040046235</v>
      </c>
      <c r="M140">
        <f t="shared" si="40"/>
        <v>0.33699999999999997</v>
      </c>
      <c r="N140" s="19">
        <f t="shared" si="41"/>
        <v>65752.646404955813</v>
      </c>
      <c r="O140" s="19">
        <f t="shared" si="28"/>
        <v>65752.646404955813</v>
      </c>
      <c r="P140" s="22">
        <f t="shared" si="29"/>
        <v>0</v>
      </c>
      <c r="Q140" s="23">
        <f t="shared" si="30"/>
        <v>0</v>
      </c>
      <c r="R140" s="23">
        <f t="shared" si="31"/>
        <v>0</v>
      </c>
      <c r="S140" s="23">
        <f t="shared" si="32"/>
        <v>65752.646404955813</v>
      </c>
      <c r="T140" s="37">
        <f t="shared" si="33"/>
        <v>0</v>
      </c>
      <c r="U140" s="20">
        <f t="shared" si="34"/>
        <v>31561.270274378789</v>
      </c>
      <c r="V140" s="20">
        <f t="shared" si="35"/>
        <v>34191.376130577024</v>
      </c>
      <c r="W140" s="20">
        <f t="shared" si="36"/>
        <v>7219.1332848171069</v>
      </c>
      <c r="X140" s="35">
        <f t="shared" si="37"/>
        <v>35120.107872083223</v>
      </c>
      <c r="Y140" s="35">
        <f t="shared" si="38"/>
        <v>23413.405248055482</v>
      </c>
    </row>
    <row r="141" spans="1:25" x14ac:dyDescent="0.35">
      <c r="A141" t="str">
        <f t="shared" si="39"/>
        <v>CD63</v>
      </c>
      <c r="B141" t="s">
        <v>294</v>
      </c>
      <c r="C141" t="s">
        <v>295</v>
      </c>
      <c r="E141">
        <v>1</v>
      </c>
      <c r="F141">
        <v>156539.27372101528</v>
      </c>
      <c r="G141">
        <v>53712.894066600005</v>
      </c>
      <c r="H141">
        <v>0</v>
      </c>
      <c r="I141">
        <v>18155</v>
      </c>
      <c r="J141">
        <v>0</v>
      </c>
      <c r="K141">
        <v>3631</v>
      </c>
      <c r="L141">
        <v>134753.27372101528</v>
      </c>
      <c r="M141">
        <f t="shared" si="40"/>
        <v>0.33699999999999997</v>
      </c>
      <c r="N141" s="19">
        <f t="shared" si="41"/>
        <v>51530.088243982143</v>
      </c>
      <c r="O141" s="19">
        <f t="shared" si="28"/>
        <v>52753.735243982148</v>
      </c>
      <c r="P141" s="22">
        <f t="shared" si="29"/>
        <v>0</v>
      </c>
      <c r="Q141" s="23">
        <f t="shared" si="30"/>
        <v>6118.2349999999997</v>
      </c>
      <c r="R141" s="23">
        <f t="shared" si="31"/>
        <v>0</v>
      </c>
      <c r="S141" s="23">
        <f t="shared" si="32"/>
        <v>45411.853243982143</v>
      </c>
      <c r="T141" s="37">
        <f t="shared" si="33"/>
        <v>1223.6469999999999</v>
      </c>
      <c r="U141" s="20">
        <f t="shared" si="34"/>
        <v>24734.442357111428</v>
      </c>
      <c r="V141" s="20">
        <f t="shared" si="35"/>
        <v>26795.645886870716</v>
      </c>
      <c r="W141" s="20">
        <f t="shared" si="36"/>
        <v>5657.6061276775654</v>
      </c>
      <c r="X141" s="35">
        <f t="shared" si="37"/>
        <v>27523.489269782749</v>
      </c>
      <c r="Y141" s="35">
        <f t="shared" si="38"/>
        <v>18348.992846521833</v>
      </c>
    </row>
    <row r="142" spans="1:25" x14ac:dyDescent="0.35">
      <c r="A142" t="str">
        <f t="shared" si="39"/>
        <v>CD63</v>
      </c>
      <c r="B142" t="s">
        <v>296</v>
      </c>
      <c r="C142" t="s">
        <v>297</v>
      </c>
      <c r="E142">
        <v>1</v>
      </c>
      <c r="F142">
        <v>228597.07081729267</v>
      </c>
      <c r="G142">
        <v>78437.889462980864</v>
      </c>
      <c r="H142">
        <v>0</v>
      </c>
      <c r="I142">
        <v>0</v>
      </c>
      <c r="J142">
        <v>0</v>
      </c>
      <c r="K142">
        <v>0</v>
      </c>
      <c r="L142">
        <v>228597.07081729267</v>
      </c>
      <c r="M142">
        <f t="shared" si="40"/>
        <v>0.33699999999999997</v>
      </c>
      <c r="N142" s="19">
        <f t="shared" si="41"/>
        <v>77037.212865427617</v>
      </c>
      <c r="O142" s="19">
        <f t="shared" si="28"/>
        <v>77037.212865427617</v>
      </c>
      <c r="P142" s="22">
        <f t="shared" si="29"/>
        <v>0</v>
      </c>
      <c r="Q142" s="23">
        <f t="shared" si="30"/>
        <v>0</v>
      </c>
      <c r="R142" s="23">
        <f t="shared" si="31"/>
        <v>0</v>
      </c>
      <c r="S142" s="23">
        <f t="shared" si="32"/>
        <v>77037.212865427617</v>
      </c>
      <c r="T142" s="37">
        <f t="shared" si="33"/>
        <v>0</v>
      </c>
      <c r="U142" s="20">
        <f t="shared" si="34"/>
        <v>36977.862175405251</v>
      </c>
      <c r="V142" s="20">
        <f t="shared" si="35"/>
        <v>40059.350690022366</v>
      </c>
      <c r="W142" s="20">
        <f t="shared" si="36"/>
        <v>8458.0916202398275</v>
      </c>
      <c r="X142" s="35">
        <f t="shared" si="37"/>
        <v>41147.472747112675</v>
      </c>
      <c r="Y142" s="35">
        <f t="shared" si="38"/>
        <v>27431.648498075119</v>
      </c>
    </row>
    <row r="143" spans="1:25" x14ac:dyDescent="0.35">
      <c r="A143" t="str">
        <f t="shared" si="39"/>
        <v>CD63</v>
      </c>
      <c r="B143" t="s">
        <v>298</v>
      </c>
      <c r="C143" t="s">
        <v>299</v>
      </c>
      <c r="E143">
        <v>1</v>
      </c>
      <c r="F143">
        <v>195232.50567013919</v>
      </c>
      <c r="G143">
        <v>66989.597218306677</v>
      </c>
      <c r="H143">
        <v>0</v>
      </c>
      <c r="I143">
        <v>0</v>
      </c>
      <c r="J143">
        <v>0</v>
      </c>
      <c r="K143">
        <v>0</v>
      </c>
      <c r="L143">
        <v>195232.50567013919</v>
      </c>
      <c r="M143">
        <f t="shared" si="40"/>
        <v>0.33699999999999997</v>
      </c>
      <c r="N143" s="19">
        <f t="shared" si="41"/>
        <v>65793.354410836895</v>
      </c>
      <c r="O143" s="19">
        <f t="shared" si="28"/>
        <v>65793.354410836895</v>
      </c>
      <c r="P143" s="22">
        <f t="shared" si="29"/>
        <v>0</v>
      </c>
      <c r="Q143" s="23">
        <f t="shared" si="30"/>
        <v>0</v>
      </c>
      <c r="R143" s="23">
        <f t="shared" si="31"/>
        <v>0</v>
      </c>
      <c r="S143" s="23">
        <f t="shared" si="32"/>
        <v>65793.354410836895</v>
      </c>
      <c r="T143" s="37">
        <f t="shared" si="33"/>
        <v>0</v>
      </c>
      <c r="U143" s="20">
        <f t="shared" si="34"/>
        <v>31580.810117201709</v>
      </c>
      <c r="V143" s="20">
        <f t="shared" si="35"/>
        <v>34212.54429363519</v>
      </c>
      <c r="W143" s="20">
        <f t="shared" si="36"/>
        <v>7223.6027097951492</v>
      </c>
      <c r="X143" s="35">
        <f t="shared" si="37"/>
        <v>35141.85102062505</v>
      </c>
      <c r="Y143" s="35">
        <f t="shared" si="38"/>
        <v>23427.9006804167</v>
      </c>
    </row>
    <row r="144" spans="1:25" x14ac:dyDescent="0.35">
      <c r="A144" t="str">
        <f t="shared" si="39"/>
        <v>CD63</v>
      </c>
      <c r="B144" t="s">
        <v>300</v>
      </c>
      <c r="C144" t="s">
        <v>301</v>
      </c>
      <c r="E144">
        <v>1</v>
      </c>
      <c r="F144">
        <v>300274.24885628646</v>
      </c>
      <c r="G144">
        <v>103032.28408028797</v>
      </c>
      <c r="H144">
        <v>0</v>
      </c>
      <c r="I144">
        <v>0</v>
      </c>
      <c r="J144">
        <v>0</v>
      </c>
      <c r="K144">
        <v>0</v>
      </c>
      <c r="L144">
        <v>300274.24885628646</v>
      </c>
      <c r="M144">
        <f t="shared" si="40"/>
        <v>0.33699999999999997</v>
      </c>
      <c r="N144" s="19">
        <f t="shared" si="41"/>
        <v>101192.42186456853</v>
      </c>
      <c r="O144" s="19">
        <f t="shared" si="28"/>
        <v>101192.42186456853</v>
      </c>
      <c r="P144" s="22">
        <f t="shared" si="29"/>
        <v>0</v>
      </c>
      <c r="Q144" s="23">
        <f t="shared" si="30"/>
        <v>0</v>
      </c>
      <c r="R144" s="23">
        <f t="shared" si="31"/>
        <v>0</v>
      </c>
      <c r="S144" s="23">
        <f t="shared" si="32"/>
        <v>101192.42186456853</v>
      </c>
      <c r="T144" s="37">
        <f t="shared" si="33"/>
        <v>0</v>
      </c>
      <c r="U144" s="20">
        <f t="shared" si="34"/>
        <v>48572.362494992893</v>
      </c>
      <c r="V144" s="20">
        <f t="shared" si="35"/>
        <v>52620.05936957564</v>
      </c>
      <c r="W144" s="20">
        <f t="shared" si="36"/>
        <v>11110.147207682598</v>
      </c>
      <c r="X144" s="35">
        <f t="shared" si="37"/>
        <v>54049.364794131558</v>
      </c>
      <c r="Y144" s="35">
        <f t="shared" si="38"/>
        <v>36032.909862754372</v>
      </c>
    </row>
    <row r="145" spans="1:25" x14ac:dyDescent="0.35">
      <c r="A145" t="str">
        <f t="shared" si="39"/>
        <v>CD63</v>
      </c>
      <c r="B145" t="s">
        <v>302</v>
      </c>
      <c r="C145" t="s">
        <v>303</v>
      </c>
      <c r="E145">
        <v>1</v>
      </c>
      <c r="F145">
        <v>162004.68988488399</v>
      </c>
      <c r="G145">
        <v>55588.227409227831</v>
      </c>
      <c r="H145">
        <v>0</v>
      </c>
      <c r="I145">
        <v>0</v>
      </c>
      <c r="J145">
        <v>0</v>
      </c>
      <c r="K145">
        <v>0</v>
      </c>
      <c r="L145">
        <v>162004.68988488399</v>
      </c>
      <c r="M145">
        <f t="shared" si="40"/>
        <v>0.33699999999999997</v>
      </c>
      <c r="N145" s="19">
        <f t="shared" si="41"/>
        <v>54595.580491205903</v>
      </c>
      <c r="O145" s="19">
        <f t="shared" si="28"/>
        <v>54595.580491205903</v>
      </c>
      <c r="P145" s="22">
        <f t="shared" si="29"/>
        <v>0</v>
      </c>
      <c r="Q145" s="23">
        <f t="shared" si="30"/>
        <v>0</v>
      </c>
      <c r="R145" s="23">
        <f t="shared" si="31"/>
        <v>0</v>
      </c>
      <c r="S145" s="23">
        <f t="shared" si="32"/>
        <v>54595.580491205903</v>
      </c>
      <c r="T145" s="37">
        <f t="shared" si="33"/>
        <v>0</v>
      </c>
      <c r="U145" s="20">
        <f t="shared" si="34"/>
        <v>26205.878635778834</v>
      </c>
      <c r="V145" s="20">
        <f t="shared" si="35"/>
        <v>28389.701855427069</v>
      </c>
      <c r="W145" s="20">
        <f t="shared" si="36"/>
        <v>5994.1735257407072</v>
      </c>
      <c r="X145" s="35">
        <f t="shared" si="37"/>
        <v>29160.844179279116</v>
      </c>
      <c r="Y145" s="35">
        <f t="shared" si="38"/>
        <v>19440.562786186078</v>
      </c>
    </row>
    <row r="146" spans="1:25" x14ac:dyDescent="0.35">
      <c r="A146" t="str">
        <f t="shared" si="39"/>
        <v>CD63</v>
      </c>
      <c r="B146" t="s">
        <v>304</v>
      </c>
      <c r="C146" t="s">
        <v>305</v>
      </c>
      <c r="E146">
        <v>1</v>
      </c>
      <c r="F146">
        <v>140964.66097881476</v>
      </c>
      <c r="G146">
        <v>48368.819672585312</v>
      </c>
      <c r="H146">
        <v>0</v>
      </c>
      <c r="I146">
        <v>0</v>
      </c>
      <c r="J146">
        <v>0</v>
      </c>
      <c r="K146">
        <v>0</v>
      </c>
      <c r="L146">
        <v>140964.66097881476</v>
      </c>
      <c r="M146">
        <f t="shared" si="40"/>
        <v>0.33699999999999997</v>
      </c>
      <c r="N146" s="19">
        <f t="shared" si="41"/>
        <v>47505.090749860567</v>
      </c>
      <c r="O146" s="19">
        <f t="shared" si="28"/>
        <v>47505.090749860567</v>
      </c>
      <c r="P146" s="22">
        <f t="shared" si="29"/>
        <v>0</v>
      </c>
      <c r="Q146" s="23">
        <f t="shared" si="30"/>
        <v>0</v>
      </c>
      <c r="R146" s="23">
        <f t="shared" si="31"/>
        <v>0</v>
      </c>
      <c r="S146" s="23">
        <f t="shared" si="32"/>
        <v>47505.090749860567</v>
      </c>
      <c r="T146" s="37">
        <f t="shared" si="33"/>
        <v>0</v>
      </c>
      <c r="U146" s="20">
        <f t="shared" si="34"/>
        <v>22802.443559933072</v>
      </c>
      <c r="V146" s="20">
        <f t="shared" si="35"/>
        <v>24702.647189927495</v>
      </c>
      <c r="W146" s="20">
        <f t="shared" si="36"/>
        <v>5215.6924562161457</v>
      </c>
      <c r="X146" s="35">
        <f t="shared" si="37"/>
        <v>25373.638976186656</v>
      </c>
      <c r="Y146" s="35">
        <f t="shared" si="38"/>
        <v>16915.759317457771</v>
      </c>
    </row>
    <row r="147" spans="1:25" x14ac:dyDescent="0.35">
      <c r="A147" t="str">
        <f t="shared" si="39"/>
        <v>CD71</v>
      </c>
      <c r="B147" t="s">
        <v>306</v>
      </c>
      <c r="C147" t="s">
        <v>307</v>
      </c>
      <c r="E147">
        <v>1</v>
      </c>
      <c r="F147">
        <v>75366.006887253476</v>
      </c>
      <c r="G147">
        <v>25860.132399568138</v>
      </c>
      <c r="H147">
        <v>0</v>
      </c>
      <c r="I147">
        <v>0</v>
      </c>
      <c r="J147">
        <v>0</v>
      </c>
      <c r="K147">
        <v>0</v>
      </c>
      <c r="L147">
        <v>75366.006887253476</v>
      </c>
      <c r="M147">
        <f t="shared" si="40"/>
        <v>0.33699999999999997</v>
      </c>
      <c r="N147" s="19">
        <f t="shared" si="41"/>
        <v>25398.344321004417</v>
      </c>
      <c r="O147" s="19">
        <f t="shared" si="28"/>
        <v>25398.344321004417</v>
      </c>
      <c r="P147" s="22">
        <f t="shared" si="29"/>
        <v>0</v>
      </c>
      <c r="Q147" s="23">
        <f t="shared" si="30"/>
        <v>0</v>
      </c>
      <c r="R147" s="23">
        <f t="shared" si="31"/>
        <v>0</v>
      </c>
      <c r="S147" s="23">
        <f t="shared" si="32"/>
        <v>25398.344321004417</v>
      </c>
      <c r="T147" s="37">
        <f t="shared" si="33"/>
        <v>0</v>
      </c>
      <c r="U147" s="20">
        <f t="shared" si="34"/>
        <v>12191.20527408212</v>
      </c>
      <c r="V147" s="20">
        <f t="shared" si="35"/>
        <v>13207.139046922297</v>
      </c>
      <c r="W147" s="20">
        <f t="shared" si="36"/>
        <v>2788.5422548283786</v>
      </c>
      <c r="X147" s="35">
        <f t="shared" si="37"/>
        <v>13565.881239705624</v>
      </c>
      <c r="Y147" s="35">
        <f t="shared" si="38"/>
        <v>9043.9208264704175</v>
      </c>
    </row>
    <row r="148" spans="1:25" x14ac:dyDescent="0.35">
      <c r="A148" t="str">
        <f t="shared" si="39"/>
        <v>CD71</v>
      </c>
      <c r="B148" t="s">
        <v>308</v>
      </c>
      <c r="C148" t="s">
        <v>309</v>
      </c>
      <c r="E148">
        <v>1</v>
      </c>
      <c r="F148">
        <v>476427.52120139252</v>
      </c>
      <c r="G148">
        <v>163475.27600204872</v>
      </c>
      <c r="H148">
        <v>0</v>
      </c>
      <c r="I148">
        <v>0</v>
      </c>
      <c r="J148">
        <v>0</v>
      </c>
      <c r="K148">
        <v>0</v>
      </c>
      <c r="L148">
        <v>476427.52120139252</v>
      </c>
      <c r="M148">
        <f t="shared" si="40"/>
        <v>0.33699999999999997</v>
      </c>
      <c r="N148" s="19">
        <f t="shared" si="41"/>
        <v>160556.07464486925</v>
      </c>
      <c r="O148" s="19">
        <f t="shared" si="28"/>
        <v>160556.07464486925</v>
      </c>
      <c r="P148" s="22">
        <f t="shared" si="29"/>
        <v>0</v>
      </c>
      <c r="Q148" s="23">
        <f t="shared" si="30"/>
        <v>0</v>
      </c>
      <c r="R148" s="23">
        <f t="shared" si="31"/>
        <v>0</v>
      </c>
      <c r="S148" s="23">
        <f t="shared" si="32"/>
        <v>160556.07464486925</v>
      </c>
      <c r="T148" s="37">
        <f t="shared" si="33"/>
        <v>0</v>
      </c>
      <c r="U148" s="20">
        <f t="shared" si="34"/>
        <v>77066.915829537233</v>
      </c>
      <c r="V148" s="20">
        <f t="shared" si="35"/>
        <v>83489.158815332019</v>
      </c>
      <c r="W148" s="20">
        <f t="shared" si="36"/>
        <v>17627.818284451521</v>
      </c>
      <c r="X148" s="35">
        <f t="shared" si="37"/>
        <v>85756.953816250651</v>
      </c>
      <c r="Y148" s="35">
        <f t="shared" si="38"/>
        <v>57171.302544167098</v>
      </c>
    </row>
    <row r="149" spans="1:25" x14ac:dyDescent="0.35">
      <c r="A149" t="str">
        <f t="shared" si="39"/>
        <v>CD71</v>
      </c>
      <c r="B149" t="s">
        <v>310</v>
      </c>
      <c r="C149" t="s">
        <v>311</v>
      </c>
      <c r="E149">
        <v>1</v>
      </c>
      <c r="F149">
        <v>297511.40977397386</v>
      </c>
      <c r="G149">
        <v>102084.27864098971</v>
      </c>
      <c r="H149">
        <v>0</v>
      </c>
      <c r="I149">
        <v>0</v>
      </c>
      <c r="J149">
        <v>0</v>
      </c>
      <c r="K149">
        <v>0</v>
      </c>
      <c r="L149">
        <v>297511.40977397386</v>
      </c>
      <c r="M149">
        <f t="shared" si="40"/>
        <v>0.33699999999999997</v>
      </c>
      <c r="N149" s="19">
        <f t="shared" si="41"/>
        <v>100261.34509382918</v>
      </c>
      <c r="O149" s="19">
        <f t="shared" si="28"/>
        <v>100261.34509382918</v>
      </c>
      <c r="P149" s="22">
        <f t="shared" si="29"/>
        <v>0</v>
      </c>
      <c r="Q149" s="23">
        <f t="shared" si="30"/>
        <v>0</v>
      </c>
      <c r="R149" s="23">
        <f t="shared" si="31"/>
        <v>0</v>
      </c>
      <c r="S149" s="23">
        <f t="shared" si="32"/>
        <v>100261.34509382918</v>
      </c>
      <c r="T149" s="37">
        <f t="shared" si="33"/>
        <v>0</v>
      </c>
      <c r="U149" s="20">
        <f t="shared" si="34"/>
        <v>48125.445645038002</v>
      </c>
      <c r="V149" s="20">
        <f t="shared" si="35"/>
        <v>52135.899448791177</v>
      </c>
      <c r="W149" s="20">
        <f t="shared" si="36"/>
        <v>11007.922161637032</v>
      </c>
      <c r="X149" s="35">
        <f t="shared" si="37"/>
        <v>53552.053759315291</v>
      </c>
      <c r="Y149" s="35">
        <f t="shared" si="38"/>
        <v>35701.369172876861</v>
      </c>
    </row>
    <row r="150" spans="1:25" x14ac:dyDescent="0.35">
      <c r="A150" t="str">
        <f t="shared" si="39"/>
        <v>CD71</v>
      </c>
      <c r="B150" t="s">
        <v>312</v>
      </c>
      <c r="C150" t="s">
        <v>313</v>
      </c>
      <c r="E150">
        <v>1</v>
      </c>
      <c r="F150">
        <v>314349.48260107817</v>
      </c>
      <c r="G150">
        <v>107861.88064813722</v>
      </c>
      <c r="H150">
        <v>0</v>
      </c>
      <c r="I150">
        <v>0</v>
      </c>
      <c r="J150">
        <v>0</v>
      </c>
      <c r="K150">
        <v>0</v>
      </c>
      <c r="L150">
        <v>314349.48260107817</v>
      </c>
      <c r="M150">
        <f t="shared" si="40"/>
        <v>0.33699999999999997</v>
      </c>
      <c r="N150" s="19">
        <f t="shared" si="41"/>
        <v>105935.77563656334</v>
      </c>
      <c r="O150" s="19">
        <f t="shared" si="28"/>
        <v>105935.77563656334</v>
      </c>
      <c r="P150" s="22">
        <f t="shared" si="29"/>
        <v>0</v>
      </c>
      <c r="Q150" s="23">
        <f t="shared" si="30"/>
        <v>0</v>
      </c>
      <c r="R150" s="23">
        <f t="shared" si="31"/>
        <v>0</v>
      </c>
      <c r="S150" s="23">
        <f t="shared" si="32"/>
        <v>105935.77563656334</v>
      </c>
      <c r="T150" s="37">
        <f t="shared" si="33"/>
        <v>0</v>
      </c>
      <c r="U150" s="20">
        <f t="shared" si="34"/>
        <v>50849.172305550404</v>
      </c>
      <c r="V150" s="20">
        <f t="shared" si="35"/>
        <v>55086.603331012935</v>
      </c>
      <c r="W150" s="20">
        <f t="shared" si="36"/>
        <v>11630.930856239891</v>
      </c>
      <c r="X150" s="35">
        <f t="shared" si="37"/>
        <v>56582.90686819407</v>
      </c>
      <c r="Y150" s="35">
        <f t="shared" si="38"/>
        <v>37721.937912129382</v>
      </c>
    </row>
    <row r="151" spans="1:25" x14ac:dyDescent="0.35">
      <c r="A151" t="str">
        <f t="shared" si="39"/>
        <v>CD71</v>
      </c>
      <c r="B151" t="s">
        <v>314</v>
      </c>
      <c r="C151" t="s">
        <v>315</v>
      </c>
      <c r="E151">
        <v>1</v>
      </c>
      <c r="F151">
        <v>279836.06836128846</v>
      </c>
      <c r="G151">
        <v>96019.386947531559</v>
      </c>
      <c r="H151">
        <v>0</v>
      </c>
      <c r="I151">
        <v>0</v>
      </c>
      <c r="J151">
        <v>0</v>
      </c>
      <c r="K151">
        <v>0</v>
      </c>
      <c r="L151">
        <v>279836.06836128846</v>
      </c>
      <c r="M151">
        <f t="shared" si="40"/>
        <v>0.33699999999999997</v>
      </c>
      <c r="N151" s="19">
        <f t="shared" si="41"/>
        <v>94304.755037754207</v>
      </c>
      <c r="O151" s="19">
        <f t="shared" si="28"/>
        <v>94304.755037754207</v>
      </c>
      <c r="P151" s="22">
        <f t="shared" si="29"/>
        <v>0</v>
      </c>
      <c r="Q151" s="23">
        <f t="shared" si="30"/>
        <v>0</v>
      </c>
      <c r="R151" s="23">
        <f t="shared" si="31"/>
        <v>0</v>
      </c>
      <c r="S151" s="23">
        <f t="shared" si="32"/>
        <v>94304.755037754207</v>
      </c>
      <c r="T151" s="37">
        <f t="shared" si="33"/>
        <v>0</v>
      </c>
      <c r="U151" s="20">
        <f t="shared" si="34"/>
        <v>45266.28241812202</v>
      </c>
      <c r="V151" s="20">
        <f t="shared" si="35"/>
        <v>49038.472619632186</v>
      </c>
      <c r="W151" s="20">
        <f t="shared" si="36"/>
        <v>10353.934529367672</v>
      </c>
      <c r="X151" s="35">
        <f t="shared" si="37"/>
        <v>50370.492305031919</v>
      </c>
      <c r="Y151" s="35">
        <f t="shared" si="38"/>
        <v>33580.328203354613</v>
      </c>
    </row>
    <row r="152" spans="1:25" x14ac:dyDescent="0.35">
      <c r="A152" t="str">
        <f t="shared" si="39"/>
        <v>CD71</v>
      </c>
      <c r="B152" t="s">
        <v>316</v>
      </c>
      <c r="C152" t="s">
        <v>317</v>
      </c>
      <c r="E152">
        <v>1</v>
      </c>
      <c r="F152">
        <v>188242.43535420357</v>
      </c>
      <c r="G152">
        <v>64591.113454627812</v>
      </c>
      <c r="H152">
        <v>0</v>
      </c>
      <c r="I152">
        <v>0</v>
      </c>
      <c r="J152">
        <v>0</v>
      </c>
      <c r="K152">
        <v>0</v>
      </c>
      <c r="L152">
        <v>188242.43535420357</v>
      </c>
      <c r="M152">
        <f t="shared" si="40"/>
        <v>0.33699999999999997</v>
      </c>
      <c r="N152" s="19">
        <f t="shared" si="41"/>
        <v>63437.700714366598</v>
      </c>
      <c r="O152" s="19">
        <f t="shared" si="28"/>
        <v>63437.700714366598</v>
      </c>
      <c r="P152" s="22">
        <f t="shared" si="29"/>
        <v>0</v>
      </c>
      <c r="Q152" s="23">
        <f t="shared" si="30"/>
        <v>0</v>
      </c>
      <c r="R152" s="23">
        <f t="shared" si="31"/>
        <v>0</v>
      </c>
      <c r="S152" s="23">
        <f t="shared" si="32"/>
        <v>63437.700714366598</v>
      </c>
      <c r="T152" s="37">
        <f t="shared" si="33"/>
        <v>0</v>
      </c>
      <c r="U152" s="20">
        <f t="shared" si="34"/>
        <v>30450.096342895966</v>
      </c>
      <c r="V152" s="20">
        <f t="shared" si="35"/>
        <v>32987.604371470632</v>
      </c>
      <c r="W152" s="20">
        <f t="shared" si="36"/>
        <v>6964.9701081055318</v>
      </c>
      <c r="X152" s="35">
        <f t="shared" si="37"/>
        <v>33883.63836375664</v>
      </c>
      <c r="Y152" s="35">
        <f t="shared" si="38"/>
        <v>22589.092242504426</v>
      </c>
    </row>
    <row r="153" spans="1:25" x14ac:dyDescent="0.35">
      <c r="A153" t="str">
        <f t="shared" si="39"/>
        <v>CD71</v>
      </c>
      <c r="B153" t="s">
        <v>318</v>
      </c>
      <c r="C153" t="s">
        <v>319</v>
      </c>
      <c r="E153">
        <v>1</v>
      </c>
      <c r="F153">
        <v>315786.34989105654</v>
      </c>
      <c r="G153">
        <v>108354.90900261853</v>
      </c>
      <c r="H153">
        <v>0</v>
      </c>
      <c r="I153">
        <v>0</v>
      </c>
      <c r="J153">
        <v>0</v>
      </c>
      <c r="K153">
        <v>0</v>
      </c>
      <c r="L153">
        <v>315786.34989105654</v>
      </c>
      <c r="M153">
        <f t="shared" si="40"/>
        <v>0.33699999999999997</v>
      </c>
      <c r="N153" s="19">
        <f t="shared" si="41"/>
        <v>106419.99991328604</v>
      </c>
      <c r="O153" s="19">
        <f t="shared" si="28"/>
        <v>106419.99991328604</v>
      </c>
      <c r="P153" s="22">
        <f t="shared" si="29"/>
        <v>0</v>
      </c>
      <c r="Q153" s="23">
        <f t="shared" si="30"/>
        <v>0</v>
      </c>
      <c r="R153" s="23">
        <f t="shared" si="31"/>
        <v>0</v>
      </c>
      <c r="S153" s="23">
        <f t="shared" si="32"/>
        <v>106419.99991328604</v>
      </c>
      <c r="T153" s="37">
        <f t="shared" si="33"/>
        <v>0</v>
      </c>
      <c r="U153" s="20">
        <f t="shared" si="34"/>
        <v>51081.599958377294</v>
      </c>
      <c r="V153" s="20">
        <f t="shared" si="35"/>
        <v>55338.399954908746</v>
      </c>
      <c r="W153" s="20">
        <f t="shared" si="36"/>
        <v>11684.094945969091</v>
      </c>
      <c r="X153" s="35">
        <f t="shared" si="37"/>
        <v>56841.542980390172</v>
      </c>
      <c r="Y153" s="35">
        <f t="shared" si="38"/>
        <v>37894.361986926786</v>
      </c>
    </row>
    <row r="154" spans="1:25" x14ac:dyDescent="0.35">
      <c r="A154" t="str">
        <f t="shared" si="39"/>
        <v>CD71</v>
      </c>
      <c r="B154" t="s">
        <v>320</v>
      </c>
      <c r="C154" t="s">
        <v>321</v>
      </c>
      <c r="E154">
        <v>1</v>
      </c>
      <c r="F154">
        <v>435658.75403069484</v>
      </c>
      <c r="G154">
        <v>149486.40011031405</v>
      </c>
      <c r="H154">
        <v>0</v>
      </c>
      <c r="I154">
        <v>0</v>
      </c>
      <c r="J154">
        <v>0</v>
      </c>
      <c r="K154">
        <v>0</v>
      </c>
      <c r="L154">
        <v>435658.75403069484</v>
      </c>
      <c r="M154">
        <f t="shared" si="40"/>
        <v>0.33699999999999997</v>
      </c>
      <c r="N154" s="19">
        <f t="shared" si="41"/>
        <v>146817.00010834413</v>
      </c>
      <c r="O154" s="19">
        <f t="shared" si="28"/>
        <v>146817.00010834413</v>
      </c>
      <c r="P154" s="22">
        <f t="shared" si="29"/>
        <v>0</v>
      </c>
      <c r="Q154" s="23">
        <f t="shared" si="30"/>
        <v>0</v>
      </c>
      <c r="R154" s="23">
        <f t="shared" si="31"/>
        <v>0</v>
      </c>
      <c r="S154" s="23">
        <f t="shared" si="32"/>
        <v>146817.00010834413</v>
      </c>
      <c r="T154" s="37">
        <f t="shared" si="33"/>
        <v>0</v>
      </c>
      <c r="U154" s="20">
        <f t="shared" si="34"/>
        <v>70472.160052005187</v>
      </c>
      <c r="V154" s="20">
        <f t="shared" si="35"/>
        <v>76344.840056338944</v>
      </c>
      <c r="W154" s="20">
        <f t="shared" si="36"/>
        <v>16119.373899135708</v>
      </c>
      <c r="X154" s="35">
        <f t="shared" si="37"/>
        <v>78418.575725525065</v>
      </c>
      <c r="Y154" s="35">
        <f t="shared" si="38"/>
        <v>52279.050483683379</v>
      </c>
    </row>
    <row r="155" spans="1:25" x14ac:dyDescent="0.35">
      <c r="A155" t="str">
        <f t="shared" si="39"/>
        <v>CD71</v>
      </c>
      <c r="B155" t="s">
        <v>322</v>
      </c>
      <c r="C155" t="s">
        <v>323</v>
      </c>
      <c r="E155">
        <v>1</v>
      </c>
      <c r="F155">
        <v>255993.14422277955</v>
      </c>
      <c r="G155">
        <v>87838.229414041736</v>
      </c>
      <c r="H155">
        <v>0</v>
      </c>
      <c r="I155">
        <v>0</v>
      </c>
      <c r="J155">
        <v>0</v>
      </c>
      <c r="K155">
        <v>0</v>
      </c>
      <c r="L155">
        <v>255993.14422277955</v>
      </c>
      <c r="M155">
        <f t="shared" si="40"/>
        <v>0.33699999999999997</v>
      </c>
      <c r="N155" s="19">
        <f t="shared" si="41"/>
        <v>86269.689603076695</v>
      </c>
      <c r="O155" s="19">
        <f t="shared" si="28"/>
        <v>86269.689603076695</v>
      </c>
      <c r="P155" s="22">
        <f t="shared" si="29"/>
        <v>0</v>
      </c>
      <c r="Q155" s="23">
        <f t="shared" si="30"/>
        <v>0</v>
      </c>
      <c r="R155" s="23">
        <f t="shared" si="31"/>
        <v>0</v>
      </c>
      <c r="S155" s="23">
        <f t="shared" si="32"/>
        <v>86269.689603076695</v>
      </c>
      <c r="T155" s="37">
        <f t="shared" si="33"/>
        <v>0</v>
      </c>
      <c r="U155" s="20">
        <f t="shared" si="34"/>
        <v>41409.451009476812</v>
      </c>
      <c r="V155" s="20">
        <f t="shared" si="35"/>
        <v>44860.238593599883</v>
      </c>
      <c r="W155" s="20">
        <f t="shared" si="36"/>
        <v>9471.7463362428425</v>
      </c>
      <c r="X155" s="35">
        <f t="shared" si="37"/>
        <v>46078.765960100318</v>
      </c>
      <c r="Y155" s="35">
        <f t="shared" si="38"/>
        <v>30719.177306733545</v>
      </c>
    </row>
    <row r="156" spans="1:25" x14ac:dyDescent="0.35">
      <c r="A156" t="str">
        <f t="shared" si="39"/>
        <v>CD71</v>
      </c>
      <c r="B156" t="s">
        <v>324</v>
      </c>
      <c r="C156" t="s">
        <v>325</v>
      </c>
      <c r="E156">
        <v>1</v>
      </c>
      <c r="F156">
        <v>164950.7869981915</v>
      </c>
      <c r="G156">
        <v>56599.113676906723</v>
      </c>
      <c r="H156">
        <v>0</v>
      </c>
      <c r="I156">
        <v>0</v>
      </c>
      <c r="J156">
        <v>0</v>
      </c>
      <c r="K156">
        <v>0</v>
      </c>
      <c r="L156">
        <v>164950.7869981915</v>
      </c>
      <c r="M156">
        <f t="shared" si="40"/>
        <v>0.33699999999999997</v>
      </c>
      <c r="N156" s="19">
        <f t="shared" si="41"/>
        <v>55588.415218390532</v>
      </c>
      <c r="O156" s="19">
        <f t="shared" si="28"/>
        <v>55588.415218390532</v>
      </c>
      <c r="P156" s="22">
        <f t="shared" si="29"/>
        <v>0</v>
      </c>
      <c r="Q156" s="23">
        <f t="shared" si="30"/>
        <v>0</v>
      </c>
      <c r="R156" s="23">
        <f t="shared" si="31"/>
        <v>0</v>
      </c>
      <c r="S156" s="23">
        <f t="shared" si="32"/>
        <v>55588.415218390532</v>
      </c>
      <c r="T156" s="37">
        <f t="shared" si="33"/>
        <v>0</v>
      </c>
      <c r="U156" s="20">
        <f t="shared" si="34"/>
        <v>26682.439304827454</v>
      </c>
      <c r="V156" s="20">
        <f t="shared" si="35"/>
        <v>28905.975913563077</v>
      </c>
      <c r="W156" s="20">
        <f t="shared" si="36"/>
        <v>6103.1791189330852</v>
      </c>
      <c r="X156" s="35">
        <f t="shared" si="37"/>
        <v>29691.141659674468</v>
      </c>
      <c r="Y156" s="35">
        <f t="shared" si="38"/>
        <v>19794.094439782981</v>
      </c>
    </row>
    <row r="157" spans="1:25" x14ac:dyDescent="0.35">
      <c r="A157" t="str">
        <f t="shared" si="39"/>
        <v>CD71</v>
      </c>
      <c r="B157" t="s">
        <v>326</v>
      </c>
      <c r="C157" t="s">
        <v>327</v>
      </c>
      <c r="E157">
        <v>1</v>
      </c>
      <c r="F157">
        <v>114805.40061464928</v>
      </c>
      <c r="G157">
        <v>39392.864007266573</v>
      </c>
      <c r="H157">
        <v>0</v>
      </c>
      <c r="I157">
        <v>0</v>
      </c>
      <c r="J157">
        <v>0</v>
      </c>
      <c r="K157">
        <v>0</v>
      </c>
      <c r="L157">
        <v>114805.40061464928</v>
      </c>
      <c r="M157">
        <f t="shared" si="40"/>
        <v>0.33699999999999997</v>
      </c>
      <c r="N157" s="19">
        <f t="shared" si="41"/>
        <v>38689.420007136803</v>
      </c>
      <c r="O157" s="19">
        <f t="shared" si="28"/>
        <v>38689.420007136803</v>
      </c>
      <c r="P157" s="22">
        <f t="shared" si="29"/>
        <v>0</v>
      </c>
      <c r="Q157" s="23">
        <f t="shared" si="30"/>
        <v>0</v>
      </c>
      <c r="R157" s="23">
        <f t="shared" si="31"/>
        <v>0</v>
      </c>
      <c r="S157" s="23">
        <f t="shared" si="32"/>
        <v>38689.420007136803</v>
      </c>
      <c r="T157" s="37">
        <f t="shared" si="33"/>
        <v>0</v>
      </c>
      <c r="U157" s="20">
        <f t="shared" si="34"/>
        <v>18570.921603425664</v>
      </c>
      <c r="V157" s="20">
        <f t="shared" si="35"/>
        <v>20118.498403711139</v>
      </c>
      <c r="W157" s="20">
        <f t="shared" si="36"/>
        <v>4247.799822742023</v>
      </c>
      <c r="X157" s="35">
        <f t="shared" si="37"/>
        <v>20664.972110636871</v>
      </c>
      <c r="Y157" s="35">
        <f t="shared" si="38"/>
        <v>13776.648073757913</v>
      </c>
    </row>
    <row r="158" spans="1:25" x14ac:dyDescent="0.35">
      <c r="A158" t="str">
        <f t="shared" si="39"/>
        <v>CD71</v>
      </c>
      <c r="B158" t="s">
        <v>328</v>
      </c>
      <c r="C158" t="s">
        <v>329</v>
      </c>
      <c r="E158">
        <v>1</v>
      </c>
      <c r="F158">
        <v>242281.26858800979</v>
      </c>
      <c r="G158">
        <v>83133.310923507641</v>
      </c>
      <c r="H158">
        <v>0</v>
      </c>
      <c r="I158">
        <v>0</v>
      </c>
      <c r="J158">
        <v>0</v>
      </c>
      <c r="K158">
        <v>0</v>
      </c>
      <c r="L158">
        <v>242281.26858800979</v>
      </c>
      <c r="M158">
        <f t="shared" si="40"/>
        <v>0.33699999999999997</v>
      </c>
      <c r="N158" s="19">
        <f t="shared" si="41"/>
        <v>81648.787514159296</v>
      </c>
      <c r="O158" s="19">
        <f t="shared" si="28"/>
        <v>81648.787514159296</v>
      </c>
      <c r="P158" s="22">
        <f t="shared" si="29"/>
        <v>0</v>
      </c>
      <c r="Q158" s="23">
        <f t="shared" si="30"/>
        <v>0</v>
      </c>
      <c r="R158" s="23">
        <f t="shared" si="31"/>
        <v>0</v>
      </c>
      <c r="S158" s="23">
        <f t="shared" si="32"/>
        <v>81648.787514159296</v>
      </c>
      <c r="T158" s="37">
        <f t="shared" si="33"/>
        <v>0</v>
      </c>
      <c r="U158" s="20">
        <f t="shared" si="34"/>
        <v>39191.418006796463</v>
      </c>
      <c r="V158" s="20">
        <f t="shared" si="35"/>
        <v>42457.369507362833</v>
      </c>
      <c r="W158" s="20">
        <f t="shared" si="36"/>
        <v>8964.406937756361</v>
      </c>
      <c r="X158" s="35">
        <f t="shared" si="37"/>
        <v>43610.62834584176</v>
      </c>
      <c r="Y158" s="35">
        <f t="shared" si="38"/>
        <v>29073.752230561175</v>
      </c>
    </row>
    <row r="159" spans="1:25" x14ac:dyDescent="0.35">
      <c r="A159" t="str">
        <f t="shared" si="39"/>
        <v>CD71</v>
      </c>
      <c r="B159" t="s">
        <v>330</v>
      </c>
      <c r="C159" t="s">
        <v>331</v>
      </c>
      <c r="E159">
        <v>1</v>
      </c>
      <c r="F159">
        <v>282511.58034324547</v>
      </c>
      <c r="G159">
        <v>96937.428077049597</v>
      </c>
      <c r="H159">
        <v>0</v>
      </c>
      <c r="I159">
        <v>0</v>
      </c>
      <c r="J159">
        <v>0</v>
      </c>
      <c r="K159">
        <v>0</v>
      </c>
      <c r="L159">
        <v>282511.58034324547</v>
      </c>
      <c r="M159">
        <f t="shared" si="40"/>
        <v>0.33699999999999997</v>
      </c>
      <c r="N159" s="19">
        <f t="shared" si="41"/>
        <v>95206.40257567371</v>
      </c>
      <c r="O159" s="19">
        <f t="shared" si="28"/>
        <v>95206.40257567371</v>
      </c>
      <c r="P159" s="22">
        <f t="shared" si="29"/>
        <v>0</v>
      </c>
      <c r="Q159" s="23">
        <f t="shared" si="30"/>
        <v>0</v>
      </c>
      <c r="R159" s="23">
        <f t="shared" si="31"/>
        <v>0</v>
      </c>
      <c r="S159" s="23">
        <f t="shared" si="32"/>
        <v>95206.40257567371</v>
      </c>
      <c r="T159" s="37">
        <f t="shared" si="33"/>
        <v>0</v>
      </c>
      <c r="U159" s="20">
        <f t="shared" si="34"/>
        <v>45699.073236323376</v>
      </c>
      <c r="V159" s="20">
        <f t="shared" si="35"/>
        <v>49507.329339350334</v>
      </c>
      <c r="W159" s="20">
        <f t="shared" si="36"/>
        <v>10452.928472700081</v>
      </c>
      <c r="X159" s="35">
        <f t="shared" si="37"/>
        <v>50852.084461784179</v>
      </c>
      <c r="Y159" s="35">
        <f t="shared" si="38"/>
        <v>33901.389641189453</v>
      </c>
    </row>
    <row r="160" spans="1:25" x14ac:dyDescent="0.35">
      <c r="A160" t="str">
        <f t="shared" si="39"/>
        <v>CD71</v>
      </c>
      <c r="B160" t="s">
        <v>332</v>
      </c>
      <c r="C160" t="s">
        <v>333</v>
      </c>
      <c r="E160">
        <v>1</v>
      </c>
      <c r="F160">
        <v>181046.2647193564</v>
      </c>
      <c r="G160">
        <v>62121.911050612624</v>
      </c>
      <c r="H160">
        <v>0</v>
      </c>
      <c r="I160">
        <v>0</v>
      </c>
      <c r="J160">
        <v>0</v>
      </c>
      <c r="K160">
        <v>0</v>
      </c>
      <c r="L160">
        <v>181046.2647193564</v>
      </c>
      <c r="M160">
        <f t="shared" si="40"/>
        <v>0.33699999999999997</v>
      </c>
      <c r="N160" s="19">
        <f t="shared" si="41"/>
        <v>61012.591210423103</v>
      </c>
      <c r="O160" s="19">
        <f t="shared" si="28"/>
        <v>61012.591210423103</v>
      </c>
      <c r="P160" s="22">
        <f t="shared" si="29"/>
        <v>0</v>
      </c>
      <c r="Q160" s="23">
        <f t="shared" si="30"/>
        <v>0</v>
      </c>
      <c r="R160" s="23">
        <f t="shared" si="31"/>
        <v>0</v>
      </c>
      <c r="S160" s="23">
        <f t="shared" si="32"/>
        <v>61012.591210423103</v>
      </c>
      <c r="T160" s="37">
        <f t="shared" si="33"/>
        <v>0</v>
      </c>
      <c r="U160" s="20">
        <f t="shared" si="34"/>
        <v>29286.043781003089</v>
      </c>
      <c r="V160" s="20">
        <f t="shared" si="35"/>
        <v>31726.547429420014</v>
      </c>
      <c r="W160" s="20">
        <f t="shared" si="36"/>
        <v>6698.711794616187</v>
      </c>
      <c r="X160" s="35">
        <f t="shared" si="37"/>
        <v>32588.327649484152</v>
      </c>
      <c r="Y160" s="35">
        <f t="shared" si="38"/>
        <v>21725.551766322769</v>
      </c>
    </row>
    <row r="161" spans="1:25" x14ac:dyDescent="0.35">
      <c r="A161" t="str">
        <f t="shared" si="39"/>
        <v>CD71</v>
      </c>
      <c r="B161" t="s">
        <v>334</v>
      </c>
      <c r="C161" t="s">
        <v>335</v>
      </c>
      <c r="E161">
        <v>1</v>
      </c>
      <c r="F161">
        <v>180986.10761250078</v>
      </c>
      <c r="G161">
        <v>62101.269506602082</v>
      </c>
      <c r="H161">
        <v>0</v>
      </c>
      <c r="I161">
        <v>0</v>
      </c>
      <c r="J161">
        <v>0</v>
      </c>
      <c r="K161">
        <v>0</v>
      </c>
      <c r="L161">
        <v>180986.10761250078</v>
      </c>
      <c r="M161">
        <f t="shared" si="40"/>
        <v>0.33699999999999997</v>
      </c>
      <c r="N161" s="19">
        <f t="shared" si="41"/>
        <v>60992.31826541276</v>
      </c>
      <c r="O161" s="19">
        <f t="shared" si="28"/>
        <v>60992.31826541276</v>
      </c>
      <c r="P161" s="22">
        <f t="shared" si="29"/>
        <v>0</v>
      </c>
      <c r="Q161" s="23">
        <f t="shared" si="30"/>
        <v>0</v>
      </c>
      <c r="R161" s="23">
        <f t="shared" si="31"/>
        <v>0</v>
      </c>
      <c r="S161" s="23">
        <f t="shared" si="32"/>
        <v>60992.31826541276</v>
      </c>
      <c r="T161" s="37">
        <f t="shared" si="33"/>
        <v>0</v>
      </c>
      <c r="U161" s="20">
        <f t="shared" si="34"/>
        <v>29276.312767398125</v>
      </c>
      <c r="V161" s="20">
        <f t="shared" si="35"/>
        <v>31716.005498014634</v>
      </c>
      <c r="W161" s="20">
        <f t="shared" si="36"/>
        <v>6696.4859816625285</v>
      </c>
      <c r="X161" s="35">
        <f t="shared" si="37"/>
        <v>32577.499370250138</v>
      </c>
      <c r="Y161" s="35">
        <f t="shared" si="38"/>
        <v>21718.332913500093</v>
      </c>
    </row>
    <row r="162" spans="1:25" x14ac:dyDescent="0.35">
      <c r="A162" t="str">
        <f t="shared" si="39"/>
        <v>CD71</v>
      </c>
      <c r="B162" t="s">
        <v>336</v>
      </c>
      <c r="C162" t="s">
        <v>337</v>
      </c>
      <c r="E162">
        <v>1</v>
      </c>
      <c r="F162">
        <v>280072.75206039264</v>
      </c>
      <c r="G162">
        <v>96100.599579704169</v>
      </c>
      <c r="H162">
        <v>0</v>
      </c>
      <c r="I162">
        <v>0</v>
      </c>
      <c r="J162">
        <v>0</v>
      </c>
      <c r="K162">
        <v>0</v>
      </c>
      <c r="L162">
        <v>280072.75206039264</v>
      </c>
      <c r="M162">
        <f t="shared" si="40"/>
        <v>0.33699999999999997</v>
      </c>
      <c r="N162" s="19">
        <f t="shared" si="41"/>
        <v>94384.517444352314</v>
      </c>
      <c r="O162" s="19">
        <f t="shared" si="28"/>
        <v>94384.517444352314</v>
      </c>
      <c r="P162" s="22">
        <f t="shared" si="29"/>
        <v>0</v>
      </c>
      <c r="Q162" s="23">
        <f t="shared" si="30"/>
        <v>0</v>
      </c>
      <c r="R162" s="23">
        <f t="shared" si="31"/>
        <v>0</v>
      </c>
      <c r="S162" s="23">
        <f t="shared" si="32"/>
        <v>94384.517444352314</v>
      </c>
      <c r="T162" s="37">
        <f t="shared" si="33"/>
        <v>0</v>
      </c>
      <c r="U162" s="20">
        <f t="shared" si="34"/>
        <v>45304.568373289112</v>
      </c>
      <c r="V162" s="20">
        <f t="shared" si="35"/>
        <v>49079.949071063202</v>
      </c>
      <c r="W162" s="20">
        <f t="shared" si="36"/>
        <v>10362.691826234528</v>
      </c>
      <c r="X162" s="35">
        <f t="shared" si="37"/>
        <v>50413.095370870673</v>
      </c>
      <c r="Y162" s="35">
        <f t="shared" si="38"/>
        <v>33608.730247247113</v>
      </c>
    </row>
    <row r="163" spans="1:25" x14ac:dyDescent="0.35">
      <c r="A163" t="str">
        <f t="shared" si="39"/>
        <v>CD71</v>
      </c>
      <c r="B163" t="s">
        <v>338</v>
      </c>
      <c r="C163" t="s">
        <v>339</v>
      </c>
      <c r="E163">
        <v>1</v>
      </c>
      <c r="F163">
        <v>105271.9784511482</v>
      </c>
      <c r="G163">
        <v>36121.68686054671</v>
      </c>
      <c r="H163">
        <v>0</v>
      </c>
      <c r="I163">
        <v>0</v>
      </c>
      <c r="J163">
        <v>0</v>
      </c>
      <c r="K163">
        <v>0</v>
      </c>
      <c r="L163">
        <v>105271.9784511482</v>
      </c>
      <c r="M163">
        <f t="shared" si="40"/>
        <v>0.33699999999999997</v>
      </c>
      <c r="N163" s="19">
        <f t="shared" si="41"/>
        <v>35476.656738036938</v>
      </c>
      <c r="O163" s="19">
        <f t="shared" si="28"/>
        <v>35476.656738036938</v>
      </c>
      <c r="P163" s="22">
        <f t="shared" si="29"/>
        <v>0</v>
      </c>
      <c r="Q163" s="23">
        <f t="shared" si="30"/>
        <v>0</v>
      </c>
      <c r="R163" s="23">
        <f t="shared" si="31"/>
        <v>0</v>
      </c>
      <c r="S163" s="23">
        <f t="shared" si="32"/>
        <v>35476.656738036938</v>
      </c>
      <c r="T163" s="37">
        <f t="shared" si="33"/>
        <v>0</v>
      </c>
      <c r="U163" s="20">
        <f t="shared" si="34"/>
        <v>17028.79523425773</v>
      </c>
      <c r="V163" s="20">
        <f t="shared" si="35"/>
        <v>18447.861503779208</v>
      </c>
      <c r="W163" s="20">
        <f t="shared" si="36"/>
        <v>3895.0632026924832</v>
      </c>
      <c r="X163" s="35">
        <f t="shared" si="37"/>
        <v>18948.956121206676</v>
      </c>
      <c r="Y163" s="35">
        <f t="shared" si="38"/>
        <v>12632.637414137784</v>
      </c>
    </row>
    <row r="164" spans="1:25" x14ac:dyDescent="0.35">
      <c r="A164" t="str">
        <f t="shared" si="39"/>
        <v>CD71</v>
      </c>
      <c r="B164" t="s">
        <v>340</v>
      </c>
      <c r="C164" t="s">
        <v>341</v>
      </c>
      <c r="E164">
        <v>1</v>
      </c>
      <c r="F164">
        <v>140011.22838716651</v>
      </c>
      <c r="G164">
        <v>48041.670947683757</v>
      </c>
      <c r="H164">
        <v>0</v>
      </c>
      <c r="I164">
        <v>0</v>
      </c>
      <c r="J164">
        <v>0</v>
      </c>
      <c r="K164">
        <v>0</v>
      </c>
      <c r="L164">
        <v>140011.22838716651</v>
      </c>
      <c r="M164">
        <f t="shared" si="40"/>
        <v>0.33699999999999997</v>
      </c>
      <c r="N164" s="19">
        <f t="shared" si="41"/>
        <v>47183.783966475108</v>
      </c>
      <c r="O164" s="19">
        <f t="shared" si="28"/>
        <v>47183.783966475108</v>
      </c>
      <c r="P164" s="22">
        <f t="shared" si="29"/>
        <v>0</v>
      </c>
      <c r="Q164" s="23">
        <f t="shared" si="30"/>
        <v>0</v>
      </c>
      <c r="R164" s="23">
        <f t="shared" si="31"/>
        <v>0</v>
      </c>
      <c r="S164" s="23">
        <f t="shared" si="32"/>
        <v>47183.783966475108</v>
      </c>
      <c r="T164" s="37">
        <f t="shared" si="33"/>
        <v>0</v>
      </c>
      <c r="U164" s="20">
        <f t="shared" si="34"/>
        <v>22648.216303908051</v>
      </c>
      <c r="V164" s="20">
        <f t="shared" si="35"/>
        <v>24535.567662567057</v>
      </c>
      <c r="W164" s="20">
        <f t="shared" si="36"/>
        <v>5180.4154503251611</v>
      </c>
      <c r="X164" s="35">
        <f t="shared" si="37"/>
        <v>25202.021109689973</v>
      </c>
      <c r="Y164" s="35">
        <f t="shared" si="38"/>
        <v>16801.34740645998</v>
      </c>
    </row>
    <row r="165" spans="1:25" x14ac:dyDescent="0.35">
      <c r="A165" t="str">
        <f t="shared" si="39"/>
        <v>CD71</v>
      </c>
      <c r="B165" t="s">
        <v>342</v>
      </c>
      <c r="C165" t="s">
        <v>343</v>
      </c>
      <c r="E165">
        <v>1</v>
      </c>
      <c r="F165">
        <v>210140.60843173965</v>
      </c>
      <c r="G165">
        <v>72104.973860432539</v>
      </c>
      <c r="H165">
        <v>0</v>
      </c>
      <c r="I165">
        <v>0</v>
      </c>
      <c r="J165">
        <v>0</v>
      </c>
      <c r="K165">
        <v>0</v>
      </c>
      <c r="L165">
        <v>210140.60843173965</v>
      </c>
      <c r="M165">
        <f t="shared" si="40"/>
        <v>0.33699999999999997</v>
      </c>
      <c r="N165" s="19">
        <f t="shared" si="41"/>
        <v>70817.385041496251</v>
      </c>
      <c r="O165" s="19">
        <f t="shared" si="28"/>
        <v>70817.385041496251</v>
      </c>
      <c r="P165" s="22">
        <f t="shared" si="29"/>
        <v>0</v>
      </c>
      <c r="Q165" s="23">
        <f t="shared" si="30"/>
        <v>0</v>
      </c>
      <c r="R165" s="23">
        <f t="shared" si="31"/>
        <v>0</v>
      </c>
      <c r="S165" s="23">
        <f t="shared" si="32"/>
        <v>70817.385041496251</v>
      </c>
      <c r="T165" s="37">
        <f t="shared" si="33"/>
        <v>0</v>
      </c>
      <c r="U165" s="20">
        <f t="shared" si="34"/>
        <v>33992.344819918202</v>
      </c>
      <c r="V165" s="20">
        <f t="shared" si="35"/>
        <v>36825.040221578049</v>
      </c>
      <c r="W165" s="20">
        <f t="shared" si="36"/>
        <v>7775.2025119743666</v>
      </c>
      <c r="X165" s="35">
        <f t="shared" si="37"/>
        <v>37825.309517713133</v>
      </c>
      <c r="Y165" s="35">
        <f t="shared" si="38"/>
        <v>25216.873011808755</v>
      </c>
    </row>
    <row r="166" spans="1:25" x14ac:dyDescent="0.35">
      <c r="A166" t="str">
        <f t="shared" si="39"/>
        <v>CD71</v>
      </c>
      <c r="B166" t="s">
        <v>344</v>
      </c>
      <c r="C166" t="s">
        <v>345</v>
      </c>
      <c r="E166">
        <v>1</v>
      </c>
      <c r="F166">
        <v>377940.47545789793</v>
      </c>
      <c r="G166">
        <v>129681.68459711727</v>
      </c>
      <c r="H166">
        <v>0</v>
      </c>
      <c r="I166">
        <v>0</v>
      </c>
      <c r="J166">
        <v>0</v>
      </c>
      <c r="K166">
        <v>0</v>
      </c>
      <c r="L166">
        <v>377940.47545789793</v>
      </c>
      <c r="M166">
        <f t="shared" si="40"/>
        <v>0.33699999999999997</v>
      </c>
      <c r="N166" s="19">
        <f t="shared" si="41"/>
        <v>127365.94022931159</v>
      </c>
      <c r="O166" s="19">
        <f t="shared" si="28"/>
        <v>127365.94022931159</v>
      </c>
      <c r="P166" s="22">
        <f t="shared" si="29"/>
        <v>0</v>
      </c>
      <c r="Q166" s="23">
        <f t="shared" si="30"/>
        <v>0</v>
      </c>
      <c r="R166" s="23">
        <f t="shared" si="31"/>
        <v>0</v>
      </c>
      <c r="S166" s="23">
        <f t="shared" si="32"/>
        <v>127365.94022931159</v>
      </c>
      <c r="T166" s="37">
        <f t="shared" si="33"/>
        <v>0</v>
      </c>
      <c r="U166" s="20">
        <f t="shared" si="34"/>
        <v>61135.651310069559</v>
      </c>
      <c r="V166" s="20">
        <f t="shared" si="35"/>
        <v>66230.288919242026</v>
      </c>
      <c r="W166" s="20">
        <f t="shared" si="36"/>
        <v>13983.797591942222</v>
      </c>
      <c r="X166" s="35">
        <f t="shared" si="37"/>
        <v>68029.285582421624</v>
      </c>
      <c r="Y166" s="35">
        <f t="shared" si="38"/>
        <v>45352.857054947752</v>
      </c>
    </row>
    <row r="167" spans="1:25" x14ac:dyDescent="0.35">
      <c r="A167" t="str">
        <f t="shared" si="39"/>
        <v>CD71</v>
      </c>
      <c r="B167" t="s">
        <v>346</v>
      </c>
      <c r="C167" t="s">
        <v>347</v>
      </c>
      <c r="E167">
        <v>1</v>
      </c>
      <c r="F167">
        <v>301687.89088108332</v>
      </c>
      <c r="G167">
        <v>103517.34321286918</v>
      </c>
      <c r="H167">
        <v>0</v>
      </c>
      <c r="I167">
        <v>0</v>
      </c>
      <c r="J167">
        <v>0</v>
      </c>
      <c r="K167">
        <v>0</v>
      </c>
      <c r="L167">
        <v>301687.89088108332</v>
      </c>
      <c r="M167">
        <f t="shared" si="40"/>
        <v>0.33699999999999997</v>
      </c>
      <c r="N167" s="19">
        <f t="shared" si="41"/>
        <v>101668.81922692507</v>
      </c>
      <c r="O167" s="19">
        <f t="shared" si="28"/>
        <v>101668.81922692507</v>
      </c>
      <c r="P167" s="22">
        <f t="shared" si="29"/>
        <v>0</v>
      </c>
      <c r="Q167" s="23">
        <f t="shared" si="30"/>
        <v>0</v>
      </c>
      <c r="R167" s="23">
        <f t="shared" si="31"/>
        <v>0</v>
      </c>
      <c r="S167" s="23">
        <f t="shared" si="32"/>
        <v>101668.81922692507</v>
      </c>
      <c r="T167" s="37">
        <f t="shared" si="33"/>
        <v>0</v>
      </c>
      <c r="U167" s="20">
        <f t="shared" si="34"/>
        <v>48801.033228924032</v>
      </c>
      <c r="V167" s="20">
        <f t="shared" si="35"/>
        <v>52867.78599800104</v>
      </c>
      <c r="W167" s="20">
        <f t="shared" si="36"/>
        <v>11162.451962600082</v>
      </c>
      <c r="X167" s="35">
        <f t="shared" si="37"/>
        <v>54303.820358594996</v>
      </c>
      <c r="Y167" s="35">
        <f t="shared" si="38"/>
        <v>36202.54690573</v>
      </c>
    </row>
    <row r="168" spans="1:25" x14ac:dyDescent="0.35">
      <c r="A168" t="str">
        <f t="shared" si="39"/>
        <v>CD72</v>
      </c>
      <c r="B168" t="s">
        <v>348</v>
      </c>
      <c r="C168" t="s">
        <v>349</v>
      </c>
      <c r="E168">
        <v>1</v>
      </c>
      <c r="F168">
        <v>296159.1683394651</v>
      </c>
      <c r="G168">
        <v>101620.28772549791</v>
      </c>
      <c r="H168">
        <v>0</v>
      </c>
      <c r="I168">
        <v>0</v>
      </c>
      <c r="J168">
        <v>0</v>
      </c>
      <c r="K168">
        <v>0</v>
      </c>
      <c r="L168">
        <v>296159.1683394651</v>
      </c>
      <c r="M168">
        <f t="shared" si="40"/>
        <v>0.33699999999999997</v>
      </c>
      <c r="N168" s="19">
        <f t="shared" si="41"/>
        <v>99805.639730399736</v>
      </c>
      <c r="O168" s="19">
        <f t="shared" si="28"/>
        <v>99805.639730399736</v>
      </c>
      <c r="P168" s="22">
        <f t="shared" si="29"/>
        <v>0</v>
      </c>
      <c r="Q168" s="23">
        <f t="shared" si="30"/>
        <v>0</v>
      </c>
      <c r="R168" s="23">
        <f t="shared" si="31"/>
        <v>0</v>
      </c>
      <c r="S168" s="23">
        <f t="shared" si="32"/>
        <v>99805.639730399736</v>
      </c>
      <c r="T168" s="37">
        <f t="shared" si="33"/>
        <v>0</v>
      </c>
      <c r="U168" s="20">
        <f t="shared" si="34"/>
        <v>47906.707070591874</v>
      </c>
      <c r="V168" s="20">
        <f t="shared" si="35"/>
        <v>51898.932659807862</v>
      </c>
      <c r="W168" s="20">
        <f t="shared" si="36"/>
        <v>10957.889228560209</v>
      </c>
      <c r="X168" s="35">
        <f t="shared" si="37"/>
        <v>53308.65030110372</v>
      </c>
      <c r="Y168" s="35">
        <f t="shared" si="38"/>
        <v>35539.100200735811</v>
      </c>
    </row>
    <row r="169" spans="1:25" x14ac:dyDescent="0.35">
      <c r="A169" t="str">
        <f t="shared" si="39"/>
        <v>CD72</v>
      </c>
      <c r="B169" t="s">
        <v>350</v>
      </c>
      <c r="C169" t="s">
        <v>351</v>
      </c>
      <c r="E169">
        <v>1</v>
      </c>
      <c r="F169">
        <v>93161.938046405339</v>
      </c>
      <c r="G169">
        <v>31966.401723850213</v>
      </c>
      <c r="H169">
        <v>0</v>
      </c>
      <c r="I169">
        <v>0</v>
      </c>
      <c r="J169">
        <v>0</v>
      </c>
      <c r="K169">
        <v>0</v>
      </c>
      <c r="L169">
        <v>93161.938046405339</v>
      </c>
      <c r="M169">
        <f t="shared" si="40"/>
        <v>0.33699999999999997</v>
      </c>
      <c r="N169" s="19">
        <f t="shared" si="41"/>
        <v>31395.573121638598</v>
      </c>
      <c r="O169" s="19">
        <f t="shared" si="28"/>
        <v>31395.573121638598</v>
      </c>
      <c r="P169" s="22">
        <f t="shared" si="29"/>
        <v>0</v>
      </c>
      <c r="Q169" s="23">
        <f t="shared" si="30"/>
        <v>0</v>
      </c>
      <c r="R169" s="23">
        <f t="shared" si="31"/>
        <v>0</v>
      </c>
      <c r="S169" s="23">
        <f t="shared" si="32"/>
        <v>31395.573121638598</v>
      </c>
      <c r="T169" s="37">
        <f t="shared" si="33"/>
        <v>0</v>
      </c>
      <c r="U169" s="20">
        <f t="shared" si="34"/>
        <v>15069.875098386527</v>
      </c>
      <c r="V169" s="20">
        <f t="shared" si="35"/>
        <v>16325.698023252071</v>
      </c>
      <c r="W169" s="20">
        <f t="shared" si="36"/>
        <v>3446.9917077169976</v>
      </c>
      <c r="X169" s="35">
        <f t="shared" si="37"/>
        <v>16769.148848352961</v>
      </c>
      <c r="Y169" s="35">
        <f t="shared" si="38"/>
        <v>11179.432565568641</v>
      </c>
    </row>
    <row r="170" spans="1:25" x14ac:dyDescent="0.35">
      <c r="A170" t="str">
        <f t="shared" si="39"/>
        <v>CD72</v>
      </c>
      <c r="B170" t="s">
        <v>352</v>
      </c>
      <c r="C170" t="s">
        <v>353</v>
      </c>
      <c r="E170">
        <v>1</v>
      </c>
      <c r="F170">
        <v>491983.9422035109</v>
      </c>
      <c r="G170">
        <v>168813.10831390286</v>
      </c>
      <c r="H170">
        <v>0</v>
      </c>
      <c r="I170">
        <v>0</v>
      </c>
      <c r="J170">
        <v>0</v>
      </c>
      <c r="K170">
        <v>0</v>
      </c>
      <c r="L170">
        <v>491983.9422035109</v>
      </c>
      <c r="M170">
        <f t="shared" si="40"/>
        <v>0.33699999999999997</v>
      </c>
      <c r="N170" s="19">
        <f t="shared" si="41"/>
        <v>165798.58852258316</v>
      </c>
      <c r="O170" s="19">
        <f t="shared" si="28"/>
        <v>165798.58852258316</v>
      </c>
      <c r="P170" s="22">
        <f t="shared" si="29"/>
        <v>0</v>
      </c>
      <c r="Q170" s="23">
        <f t="shared" si="30"/>
        <v>0</v>
      </c>
      <c r="R170" s="23">
        <f t="shared" si="31"/>
        <v>0</v>
      </c>
      <c r="S170" s="23">
        <f t="shared" si="32"/>
        <v>165798.58852258316</v>
      </c>
      <c r="T170" s="37">
        <f t="shared" si="33"/>
        <v>0</v>
      </c>
      <c r="U170" s="20">
        <f t="shared" si="34"/>
        <v>79583.322490839913</v>
      </c>
      <c r="V170" s="20">
        <f t="shared" si="35"/>
        <v>86215.266031743246</v>
      </c>
      <c r="W170" s="20">
        <f t="shared" si="36"/>
        <v>18203.405861529904</v>
      </c>
      <c r="X170" s="35">
        <f t="shared" si="37"/>
        <v>88557.109596631955</v>
      </c>
      <c r="Y170" s="35">
        <f t="shared" si="38"/>
        <v>59038.073064421304</v>
      </c>
    </row>
    <row r="171" spans="1:25" x14ac:dyDescent="0.35">
      <c r="A171" t="str">
        <f t="shared" si="39"/>
        <v>CD73</v>
      </c>
      <c r="B171" t="s">
        <v>354</v>
      </c>
      <c r="C171" t="s">
        <v>355</v>
      </c>
      <c r="E171">
        <v>1</v>
      </c>
      <c r="F171">
        <v>327467.75844844535</v>
      </c>
      <c r="G171">
        <v>112363.11886252838</v>
      </c>
      <c r="H171">
        <v>0</v>
      </c>
      <c r="I171">
        <v>0</v>
      </c>
      <c r="J171">
        <v>0</v>
      </c>
      <c r="K171">
        <v>0</v>
      </c>
      <c r="L171">
        <v>327467.75844844535</v>
      </c>
      <c r="M171">
        <f t="shared" si="40"/>
        <v>0.33699999999999997</v>
      </c>
      <c r="N171" s="19">
        <f t="shared" si="41"/>
        <v>110356.63459712607</v>
      </c>
      <c r="O171" s="19">
        <f t="shared" si="28"/>
        <v>110356.63459712607</v>
      </c>
      <c r="P171" s="22">
        <f t="shared" si="29"/>
        <v>0</v>
      </c>
      <c r="Q171" s="23">
        <f t="shared" si="30"/>
        <v>0</v>
      </c>
      <c r="R171" s="23">
        <f t="shared" si="31"/>
        <v>0</v>
      </c>
      <c r="S171" s="23">
        <f t="shared" si="32"/>
        <v>110356.63459712607</v>
      </c>
      <c r="T171" s="37">
        <f t="shared" si="33"/>
        <v>0</v>
      </c>
      <c r="U171" s="20">
        <f t="shared" si="34"/>
        <v>52971.184606620511</v>
      </c>
      <c r="V171" s="20">
        <f t="shared" si="35"/>
        <v>57385.449990505564</v>
      </c>
      <c r="W171" s="20">
        <f t="shared" si="36"/>
        <v>12116.307062592477</v>
      </c>
      <c r="X171" s="35">
        <f t="shared" si="37"/>
        <v>58944.196520720165</v>
      </c>
      <c r="Y171" s="35">
        <f t="shared" si="38"/>
        <v>39296.131013813443</v>
      </c>
    </row>
    <row r="172" spans="1:25" x14ac:dyDescent="0.35">
      <c r="A172" t="str">
        <f t="shared" si="39"/>
        <v>CD73</v>
      </c>
      <c r="B172" t="s">
        <v>356</v>
      </c>
      <c r="C172" t="s">
        <v>357</v>
      </c>
      <c r="E172">
        <v>1</v>
      </c>
      <c r="F172">
        <v>153497.1419356555</v>
      </c>
      <c r="G172">
        <v>52669.055683812556</v>
      </c>
      <c r="H172">
        <v>0</v>
      </c>
      <c r="I172">
        <v>0</v>
      </c>
      <c r="J172">
        <v>0</v>
      </c>
      <c r="K172">
        <v>0</v>
      </c>
      <c r="L172">
        <v>153497.1419356555</v>
      </c>
      <c r="M172">
        <f t="shared" si="40"/>
        <v>0.33699999999999997</v>
      </c>
      <c r="N172" s="19">
        <f t="shared" si="41"/>
        <v>51728.536832315898</v>
      </c>
      <c r="O172" s="19">
        <f t="shared" si="28"/>
        <v>51728.536832315898</v>
      </c>
      <c r="P172" s="22">
        <f t="shared" si="29"/>
        <v>0</v>
      </c>
      <c r="Q172" s="23">
        <f t="shared" si="30"/>
        <v>0</v>
      </c>
      <c r="R172" s="23">
        <f t="shared" si="31"/>
        <v>0</v>
      </c>
      <c r="S172" s="23">
        <f t="shared" si="32"/>
        <v>51728.536832315898</v>
      </c>
      <c r="T172" s="37">
        <f t="shared" si="33"/>
        <v>0</v>
      </c>
      <c r="U172" s="20">
        <f t="shared" si="34"/>
        <v>24829.697679511632</v>
      </c>
      <c r="V172" s="20">
        <f t="shared" si="35"/>
        <v>26898.839152804267</v>
      </c>
      <c r="W172" s="20">
        <f t="shared" si="36"/>
        <v>5679.3942516192528</v>
      </c>
      <c r="X172" s="35">
        <f t="shared" si="37"/>
        <v>27629.48554841799</v>
      </c>
      <c r="Y172" s="35">
        <f t="shared" si="38"/>
        <v>18419.657032278657</v>
      </c>
    </row>
    <row r="173" spans="1:25" x14ac:dyDescent="0.35">
      <c r="A173" t="str">
        <f t="shared" si="39"/>
        <v>CD73</v>
      </c>
      <c r="B173" t="s">
        <v>358</v>
      </c>
      <c r="C173" t="s">
        <v>359</v>
      </c>
      <c r="E173">
        <v>1</v>
      </c>
      <c r="F173">
        <v>247643.53129010048</v>
      </c>
      <c r="G173">
        <v>84973.249500123202</v>
      </c>
      <c r="H173">
        <v>0</v>
      </c>
      <c r="I173">
        <v>0</v>
      </c>
      <c r="J173">
        <v>0</v>
      </c>
      <c r="K173">
        <v>0</v>
      </c>
      <c r="L173">
        <v>247643.53129010048</v>
      </c>
      <c r="M173">
        <f t="shared" si="40"/>
        <v>0.33699999999999997</v>
      </c>
      <c r="N173" s="19">
        <f t="shared" si="41"/>
        <v>83455.870044763855</v>
      </c>
      <c r="O173" s="19">
        <f t="shared" si="28"/>
        <v>83455.870044763855</v>
      </c>
      <c r="P173" s="22">
        <f t="shared" si="29"/>
        <v>0</v>
      </c>
      <c r="Q173" s="23">
        <f t="shared" si="30"/>
        <v>0</v>
      </c>
      <c r="R173" s="23">
        <f t="shared" si="31"/>
        <v>0</v>
      </c>
      <c r="S173" s="23">
        <f t="shared" si="32"/>
        <v>83455.870044763855</v>
      </c>
      <c r="T173" s="37">
        <f t="shared" si="33"/>
        <v>0</v>
      </c>
      <c r="U173" s="20">
        <f t="shared" si="34"/>
        <v>40058.817621486647</v>
      </c>
      <c r="V173" s="20">
        <f t="shared" si="35"/>
        <v>43397.052423277208</v>
      </c>
      <c r="W173" s="20">
        <f t="shared" si="36"/>
        <v>9162.8106577337167</v>
      </c>
      <c r="X173" s="35">
        <f t="shared" si="37"/>
        <v>44575.835632218084</v>
      </c>
      <c r="Y173" s="35">
        <f t="shared" si="38"/>
        <v>29717.223754812057</v>
      </c>
    </row>
    <row r="174" spans="1:25" x14ac:dyDescent="0.35">
      <c r="A174" t="str">
        <f t="shared" si="39"/>
        <v>CD73</v>
      </c>
      <c r="B174" t="s">
        <v>360</v>
      </c>
      <c r="C174" t="s">
        <v>361</v>
      </c>
      <c r="E174">
        <v>1</v>
      </c>
      <c r="F174">
        <v>329468.37749902008</v>
      </c>
      <c r="G174">
        <v>113049.58582111831</v>
      </c>
      <c r="H174">
        <v>0</v>
      </c>
      <c r="I174">
        <v>0</v>
      </c>
      <c r="J174">
        <v>0</v>
      </c>
      <c r="K174">
        <v>0</v>
      </c>
      <c r="L174">
        <v>329468.37749902008</v>
      </c>
      <c r="M174">
        <f t="shared" si="40"/>
        <v>0.33699999999999997</v>
      </c>
      <c r="N174" s="19">
        <f t="shared" si="41"/>
        <v>111030.84321716975</v>
      </c>
      <c r="O174" s="19">
        <f t="shared" si="28"/>
        <v>111030.84321716975</v>
      </c>
      <c r="P174" s="22">
        <f t="shared" si="29"/>
        <v>0</v>
      </c>
      <c r="Q174" s="23">
        <f t="shared" si="30"/>
        <v>0</v>
      </c>
      <c r="R174" s="23">
        <f t="shared" si="31"/>
        <v>0</v>
      </c>
      <c r="S174" s="23">
        <f t="shared" si="32"/>
        <v>111030.84321716975</v>
      </c>
      <c r="T174" s="37">
        <f t="shared" si="33"/>
        <v>0</v>
      </c>
      <c r="U174" s="20">
        <f t="shared" si="34"/>
        <v>53294.804744241475</v>
      </c>
      <c r="V174" s="20">
        <f t="shared" si="35"/>
        <v>57736.038472928274</v>
      </c>
      <c r="W174" s="20">
        <f t="shared" si="36"/>
        <v>12190.329967463742</v>
      </c>
      <c r="X174" s="35">
        <f t="shared" si="37"/>
        <v>59304.307949823611</v>
      </c>
      <c r="Y174" s="35">
        <f t="shared" si="38"/>
        <v>39536.205299882407</v>
      </c>
    </row>
    <row r="175" spans="1:25" x14ac:dyDescent="0.35">
      <c r="A175" t="str">
        <f t="shared" si="39"/>
        <v>CD73</v>
      </c>
      <c r="B175" t="s">
        <v>362</v>
      </c>
      <c r="C175" t="s">
        <v>363</v>
      </c>
      <c r="E175">
        <v>1</v>
      </c>
      <c r="F175">
        <v>401378.09893814096</v>
      </c>
      <c r="G175">
        <v>137723.77242110175</v>
      </c>
      <c r="H175">
        <v>0</v>
      </c>
      <c r="I175">
        <v>0</v>
      </c>
      <c r="J175">
        <v>0</v>
      </c>
      <c r="K175">
        <v>0</v>
      </c>
      <c r="L175">
        <v>401378.09893814096</v>
      </c>
      <c r="M175">
        <f t="shared" si="40"/>
        <v>0.33699999999999997</v>
      </c>
      <c r="N175" s="19">
        <f t="shared" si="41"/>
        <v>135264.4193421535</v>
      </c>
      <c r="O175" s="19">
        <f t="shared" si="28"/>
        <v>135264.4193421535</v>
      </c>
      <c r="P175" s="22">
        <f t="shared" si="29"/>
        <v>0</v>
      </c>
      <c r="Q175" s="23">
        <f t="shared" si="30"/>
        <v>0</v>
      </c>
      <c r="R175" s="23">
        <f t="shared" si="31"/>
        <v>0</v>
      </c>
      <c r="S175" s="23">
        <f t="shared" si="32"/>
        <v>135264.4193421535</v>
      </c>
      <c r="T175" s="37">
        <f t="shared" si="33"/>
        <v>0</v>
      </c>
      <c r="U175" s="20">
        <f t="shared" si="34"/>
        <v>64926.921284233678</v>
      </c>
      <c r="V175" s="20">
        <f t="shared" si="35"/>
        <v>70337.498057919816</v>
      </c>
      <c r="W175" s="20">
        <f t="shared" si="36"/>
        <v>14850.989660711215</v>
      </c>
      <c r="X175" s="35">
        <f t="shared" si="37"/>
        <v>72248.057808865371</v>
      </c>
      <c r="Y175" s="35">
        <f t="shared" si="38"/>
        <v>48165.371872576914</v>
      </c>
    </row>
    <row r="176" spans="1:25" x14ac:dyDescent="0.35">
      <c r="A176" t="str">
        <f t="shared" si="39"/>
        <v>CD73</v>
      </c>
      <c r="B176" t="s">
        <v>364</v>
      </c>
      <c r="C176" t="s">
        <v>365</v>
      </c>
      <c r="E176">
        <v>1</v>
      </c>
      <c r="F176">
        <v>223949.20192941674</v>
      </c>
      <c r="G176">
        <v>76843.078887490046</v>
      </c>
      <c r="H176">
        <v>0</v>
      </c>
      <c r="I176">
        <v>0</v>
      </c>
      <c r="J176">
        <v>0</v>
      </c>
      <c r="K176">
        <v>0</v>
      </c>
      <c r="L176">
        <v>223949.20192941674</v>
      </c>
      <c r="M176">
        <f t="shared" si="40"/>
        <v>0.33699999999999997</v>
      </c>
      <c r="N176" s="19">
        <f t="shared" si="41"/>
        <v>75470.881050213429</v>
      </c>
      <c r="O176" s="19">
        <f t="shared" si="28"/>
        <v>75470.881050213429</v>
      </c>
      <c r="P176" s="22">
        <f t="shared" si="29"/>
        <v>0</v>
      </c>
      <c r="Q176" s="23">
        <f t="shared" si="30"/>
        <v>0</v>
      </c>
      <c r="R176" s="23">
        <f t="shared" si="31"/>
        <v>0</v>
      </c>
      <c r="S176" s="23">
        <f t="shared" si="32"/>
        <v>75470.881050213429</v>
      </c>
      <c r="T176" s="37">
        <f t="shared" si="33"/>
        <v>0</v>
      </c>
      <c r="U176" s="20">
        <f t="shared" si="34"/>
        <v>36226.022904102443</v>
      </c>
      <c r="V176" s="20">
        <f t="shared" si="35"/>
        <v>39244.858146110986</v>
      </c>
      <c r="W176" s="20">
        <f t="shared" si="36"/>
        <v>8286.1204713884181</v>
      </c>
      <c r="X176" s="35">
        <f t="shared" si="37"/>
        <v>40310.856347295012</v>
      </c>
      <c r="Y176" s="35">
        <f t="shared" si="38"/>
        <v>26873.904231530007</v>
      </c>
    </row>
    <row r="177" spans="1:25" x14ac:dyDescent="0.35">
      <c r="A177" t="str">
        <f t="shared" si="39"/>
        <v>CD73</v>
      </c>
      <c r="B177" t="s">
        <v>366</v>
      </c>
      <c r="C177" t="s">
        <v>367</v>
      </c>
      <c r="E177">
        <v>1</v>
      </c>
      <c r="F177">
        <v>302338.46970255033</v>
      </c>
      <c r="G177">
        <v>103740.57454957327</v>
      </c>
      <c r="H177">
        <v>0</v>
      </c>
      <c r="I177">
        <v>0</v>
      </c>
      <c r="J177">
        <v>0</v>
      </c>
      <c r="K177">
        <v>0</v>
      </c>
      <c r="L177">
        <v>302338.46970255033</v>
      </c>
      <c r="M177">
        <f t="shared" si="40"/>
        <v>0.33699999999999997</v>
      </c>
      <c r="N177" s="19">
        <f t="shared" si="41"/>
        <v>101888.06428975945</v>
      </c>
      <c r="O177" s="19">
        <f t="shared" si="28"/>
        <v>101888.06428975945</v>
      </c>
      <c r="P177" s="22">
        <f t="shared" si="29"/>
        <v>0</v>
      </c>
      <c r="Q177" s="23">
        <f t="shared" si="30"/>
        <v>0</v>
      </c>
      <c r="R177" s="23">
        <f t="shared" si="31"/>
        <v>0</v>
      </c>
      <c r="S177" s="23">
        <f t="shared" si="32"/>
        <v>101888.06428975945</v>
      </c>
      <c r="T177" s="37">
        <f t="shared" si="33"/>
        <v>0</v>
      </c>
      <c r="U177" s="20">
        <f t="shared" si="34"/>
        <v>48906.270859084536</v>
      </c>
      <c r="V177" s="20">
        <f t="shared" si="35"/>
        <v>52981.793430674916</v>
      </c>
      <c r="W177" s="20">
        <f t="shared" si="36"/>
        <v>11186.523378994361</v>
      </c>
      <c r="X177" s="35">
        <f t="shared" si="37"/>
        <v>54420.924546459057</v>
      </c>
      <c r="Y177" s="35">
        <f t="shared" si="38"/>
        <v>36280.616364306035</v>
      </c>
    </row>
    <row r="178" spans="1:25" x14ac:dyDescent="0.35">
      <c r="A178" t="str">
        <f t="shared" si="39"/>
        <v>CD73</v>
      </c>
      <c r="B178" t="s">
        <v>368</v>
      </c>
      <c r="C178" t="s">
        <v>369</v>
      </c>
      <c r="E178">
        <v>1</v>
      </c>
      <c r="F178">
        <v>286907.69023587165</v>
      </c>
      <c r="G178">
        <v>98445.853275115805</v>
      </c>
      <c r="H178">
        <v>0</v>
      </c>
      <c r="I178">
        <v>0</v>
      </c>
      <c r="J178">
        <v>0</v>
      </c>
      <c r="K178">
        <v>0</v>
      </c>
      <c r="L178">
        <v>286907.69023587165</v>
      </c>
      <c r="M178">
        <f t="shared" si="40"/>
        <v>0.33699999999999997</v>
      </c>
      <c r="N178" s="19">
        <f t="shared" si="41"/>
        <v>96687.891609488739</v>
      </c>
      <c r="O178" s="19">
        <f t="shared" si="28"/>
        <v>96687.891609488739</v>
      </c>
      <c r="P178" s="22">
        <f t="shared" si="29"/>
        <v>0</v>
      </c>
      <c r="Q178" s="23">
        <f t="shared" si="30"/>
        <v>0</v>
      </c>
      <c r="R178" s="23">
        <f t="shared" si="31"/>
        <v>0</v>
      </c>
      <c r="S178" s="23">
        <f t="shared" si="32"/>
        <v>96687.891609488739</v>
      </c>
      <c r="T178" s="37">
        <f t="shared" si="33"/>
        <v>0</v>
      </c>
      <c r="U178" s="20">
        <f t="shared" si="34"/>
        <v>46410.187972554595</v>
      </c>
      <c r="V178" s="20">
        <f t="shared" si="35"/>
        <v>50277.703636934144</v>
      </c>
      <c r="W178" s="20">
        <f t="shared" si="36"/>
        <v>10615.584538727251</v>
      </c>
      <c r="X178" s="35">
        <f t="shared" si="37"/>
        <v>51643.384242456894</v>
      </c>
      <c r="Y178" s="35">
        <f t="shared" si="38"/>
        <v>34428.922828304596</v>
      </c>
    </row>
    <row r="179" spans="1:25" x14ac:dyDescent="0.35">
      <c r="A179" t="str">
        <f t="shared" si="39"/>
        <v>CD74</v>
      </c>
      <c r="B179" t="s">
        <v>370</v>
      </c>
      <c r="C179" t="s">
        <v>371</v>
      </c>
      <c r="E179">
        <v>1</v>
      </c>
      <c r="F179">
        <v>508075.79418574437</v>
      </c>
      <c r="G179">
        <v>174334.66159769759</v>
      </c>
      <c r="H179">
        <v>4744</v>
      </c>
      <c r="I179">
        <v>8753</v>
      </c>
      <c r="J179">
        <v>5848</v>
      </c>
      <c r="K179">
        <v>1751</v>
      </c>
      <c r="L179">
        <v>486979.79418574437</v>
      </c>
      <c r="M179">
        <f t="shared" si="40"/>
        <v>0.33699999999999997</v>
      </c>
      <c r="N179" s="19">
        <f t="shared" si="41"/>
        <v>170631.45564059581</v>
      </c>
      <c r="O179" s="19">
        <f t="shared" si="28"/>
        <v>171221.54264059584</v>
      </c>
      <c r="P179" s="22">
        <f t="shared" si="29"/>
        <v>1598.7279999999998</v>
      </c>
      <c r="Q179" s="23">
        <f t="shared" si="30"/>
        <v>2949.7609999999995</v>
      </c>
      <c r="R179" s="23">
        <f t="shared" si="31"/>
        <v>1970.7759999999998</v>
      </c>
      <c r="S179" s="23">
        <f t="shared" si="32"/>
        <v>164112.19064059583</v>
      </c>
      <c r="T179" s="37">
        <f t="shared" si="33"/>
        <v>590.08699999999999</v>
      </c>
      <c r="U179" s="20">
        <f t="shared" si="34"/>
        <v>81903.098707485988</v>
      </c>
      <c r="V179" s="20">
        <f t="shared" si="35"/>
        <v>88728.356933109826</v>
      </c>
      <c r="W179" s="20">
        <f t="shared" si="36"/>
        <v>18734.017384872539</v>
      </c>
      <c r="X179" s="35">
        <f t="shared" si="37"/>
        <v>91138.462953433977</v>
      </c>
      <c r="Y179" s="35">
        <f t="shared" si="38"/>
        <v>60758.97530228932</v>
      </c>
    </row>
    <row r="180" spans="1:25" x14ac:dyDescent="0.35">
      <c r="A180" t="str">
        <f t="shared" si="39"/>
        <v>CD74</v>
      </c>
      <c r="B180" t="s">
        <v>372</v>
      </c>
      <c r="C180" t="s">
        <v>373</v>
      </c>
      <c r="E180">
        <v>1</v>
      </c>
      <c r="F180">
        <v>477375.27659626893</v>
      </c>
      <c r="G180">
        <v>163800.4767259052</v>
      </c>
      <c r="H180">
        <v>4077</v>
      </c>
      <c r="I180">
        <v>23452</v>
      </c>
      <c r="J180">
        <v>2585</v>
      </c>
      <c r="K180">
        <v>4691</v>
      </c>
      <c r="L180">
        <v>442570.27659626893</v>
      </c>
      <c r="M180">
        <f t="shared" si="40"/>
        <v>0.33699999999999997</v>
      </c>
      <c r="N180" s="19">
        <f t="shared" si="41"/>
        <v>159294.60121294262</v>
      </c>
      <c r="O180" s="19">
        <f t="shared" si="28"/>
        <v>160875.46821294262</v>
      </c>
      <c r="P180" s="22">
        <f t="shared" si="29"/>
        <v>1373.9489999999998</v>
      </c>
      <c r="Q180" s="23">
        <f t="shared" si="30"/>
        <v>7903.3239999999996</v>
      </c>
      <c r="R180" s="23">
        <f t="shared" si="31"/>
        <v>871.14499999999987</v>
      </c>
      <c r="S180" s="23">
        <f t="shared" si="32"/>
        <v>149146.18321294262</v>
      </c>
      <c r="T180" s="37">
        <f t="shared" si="33"/>
        <v>1580.8669999999997</v>
      </c>
      <c r="U180" s="20">
        <f t="shared" si="34"/>
        <v>76461.408582212462</v>
      </c>
      <c r="V180" s="20">
        <f t="shared" si="35"/>
        <v>82833.192630730162</v>
      </c>
      <c r="W180" s="20">
        <f t="shared" si="36"/>
        <v>17489.31823406195</v>
      </c>
      <c r="X180" s="35">
        <f t="shared" si="37"/>
        <v>85083.169787328399</v>
      </c>
      <c r="Y180" s="35">
        <f t="shared" si="38"/>
        <v>56722.113191552271</v>
      </c>
    </row>
    <row r="181" spans="1:25" x14ac:dyDescent="0.35">
      <c r="A181" t="str">
        <f t="shared" si="39"/>
        <v>CD74</v>
      </c>
      <c r="B181" t="s">
        <v>374</v>
      </c>
      <c r="C181" t="s">
        <v>375</v>
      </c>
      <c r="E181">
        <v>1</v>
      </c>
      <c r="F181">
        <v>246193.58660582459</v>
      </c>
      <c r="G181">
        <v>84475.733935002223</v>
      </c>
      <c r="H181">
        <v>1344</v>
      </c>
      <c r="I181">
        <v>1199</v>
      </c>
      <c r="J181">
        <v>890</v>
      </c>
      <c r="K181">
        <v>240</v>
      </c>
      <c r="L181">
        <v>242520.58660582459</v>
      </c>
      <c r="M181">
        <f t="shared" si="40"/>
        <v>0.33699999999999997</v>
      </c>
      <c r="N181" s="19">
        <f t="shared" si="41"/>
        <v>82886.358686162886</v>
      </c>
      <c r="O181" s="19">
        <f t="shared" si="28"/>
        <v>82967.238686162877</v>
      </c>
      <c r="P181" s="22">
        <f t="shared" si="29"/>
        <v>452.92799999999994</v>
      </c>
      <c r="Q181" s="23">
        <f t="shared" si="30"/>
        <v>404.06299999999993</v>
      </c>
      <c r="R181" s="23">
        <f t="shared" si="31"/>
        <v>299.92999999999995</v>
      </c>
      <c r="S181" s="23">
        <f t="shared" si="32"/>
        <v>81729.437686162884</v>
      </c>
      <c r="T181" s="37">
        <f t="shared" si="33"/>
        <v>80.88</v>
      </c>
      <c r="U181" s="20">
        <f t="shared" si="34"/>
        <v>39785.452169358185</v>
      </c>
      <c r="V181" s="20">
        <f t="shared" si="35"/>
        <v>43100.906516804702</v>
      </c>
      <c r="W181" s="20">
        <f t="shared" si="36"/>
        <v>9100.2827044155092</v>
      </c>
      <c r="X181" s="35">
        <f t="shared" si="37"/>
        <v>44271.645589048421</v>
      </c>
      <c r="Y181" s="35">
        <f t="shared" si="38"/>
        <v>29514.430392698949</v>
      </c>
    </row>
    <row r="182" spans="1:25" x14ac:dyDescent="0.35">
      <c r="A182" t="str">
        <f t="shared" si="39"/>
        <v>CD74</v>
      </c>
      <c r="B182" t="s">
        <v>376</v>
      </c>
      <c r="C182" t="s">
        <v>377</v>
      </c>
      <c r="E182">
        <v>1</v>
      </c>
      <c r="F182">
        <v>491576.36888653465</v>
      </c>
      <c r="G182">
        <v>168673.25879321242</v>
      </c>
      <c r="H182">
        <v>0</v>
      </c>
      <c r="I182">
        <v>6602</v>
      </c>
      <c r="J182">
        <v>5496</v>
      </c>
      <c r="K182">
        <v>1320</v>
      </c>
      <c r="L182">
        <v>478158.36888653465</v>
      </c>
      <c r="M182">
        <f t="shared" si="40"/>
        <v>0.33699999999999997</v>
      </c>
      <c r="N182" s="19">
        <f t="shared" si="41"/>
        <v>165216.39631476218</v>
      </c>
      <c r="O182" s="19">
        <f t="shared" si="28"/>
        <v>165661.23631476215</v>
      </c>
      <c r="P182" s="22">
        <f t="shared" si="29"/>
        <v>0</v>
      </c>
      <c r="Q182" s="23">
        <f t="shared" si="30"/>
        <v>2224.8739999999998</v>
      </c>
      <c r="R182" s="23">
        <f t="shared" si="31"/>
        <v>1852.1519999999998</v>
      </c>
      <c r="S182" s="23">
        <f t="shared" si="32"/>
        <v>161139.37031476217</v>
      </c>
      <c r="T182" s="37">
        <f t="shared" si="33"/>
        <v>444.84</v>
      </c>
      <c r="U182" s="20">
        <f t="shared" si="34"/>
        <v>79303.87023108585</v>
      </c>
      <c r="V182" s="20">
        <f t="shared" si="35"/>
        <v>85912.526083676334</v>
      </c>
      <c r="W182" s="20">
        <f t="shared" si="36"/>
        <v>18139.485648801779</v>
      </c>
      <c r="X182" s="35">
        <f t="shared" si="37"/>
        <v>88246.146399576231</v>
      </c>
      <c r="Y182" s="35">
        <f t="shared" si="38"/>
        <v>58830.764266384154</v>
      </c>
    </row>
    <row r="183" spans="1:25" x14ac:dyDescent="0.35">
      <c r="A183" t="str">
        <f t="shared" si="39"/>
        <v>CD74</v>
      </c>
      <c r="B183" t="s">
        <v>378</v>
      </c>
      <c r="C183" t="s">
        <v>379</v>
      </c>
      <c r="E183">
        <v>1</v>
      </c>
      <c r="F183">
        <v>388881.23386719741</v>
      </c>
      <c r="G183">
        <v>133435.75719166818</v>
      </c>
      <c r="H183">
        <v>0</v>
      </c>
      <c r="I183">
        <v>2688</v>
      </c>
      <c r="J183">
        <v>728</v>
      </c>
      <c r="K183">
        <v>538</v>
      </c>
      <c r="L183">
        <v>384927.23386719741</v>
      </c>
      <c r="M183">
        <f t="shared" si="40"/>
        <v>0.33699999999999997</v>
      </c>
      <c r="N183" s="19">
        <f t="shared" si="41"/>
        <v>130871.66981324551</v>
      </c>
      <c r="O183" s="19">
        <f t="shared" si="28"/>
        <v>131052.97581324552</v>
      </c>
      <c r="P183" s="22">
        <f t="shared" si="29"/>
        <v>0</v>
      </c>
      <c r="Q183" s="23">
        <f t="shared" si="30"/>
        <v>905.85599999999988</v>
      </c>
      <c r="R183" s="23">
        <f t="shared" si="31"/>
        <v>245.33599999999998</v>
      </c>
      <c r="S183" s="23">
        <f t="shared" si="32"/>
        <v>129720.47781324551</v>
      </c>
      <c r="T183" s="37">
        <f t="shared" si="33"/>
        <v>181.30599999999998</v>
      </c>
      <c r="U183" s="20">
        <f t="shared" si="34"/>
        <v>62818.401510357842</v>
      </c>
      <c r="V183" s="20">
        <f t="shared" si="35"/>
        <v>68053.268302887664</v>
      </c>
      <c r="W183" s="20">
        <f t="shared" si="36"/>
        <v>14368.699653086303</v>
      </c>
      <c r="X183" s="35">
        <f t="shared" si="37"/>
        <v>69901.782096095529</v>
      </c>
      <c r="Y183" s="35">
        <f t="shared" si="38"/>
        <v>46601.188064063688</v>
      </c>
    </row>
    <row r="184" spans="1:25" x14ac:dyDescent="0.35">
      <c r="A184" t="str">
        <f t="shared" si="39"/>
        <v>CD74</v>
      </c>
      <c r="B184" t="s">
        <v>380</v>
      </c>
      <c r="C184" t="s">
        <v>381</v>
      </c>
      <c r="E184">
        <v>1</v>
      </c>
      <c r="F184">
        <v>251995.70741596524</v>
      </c>
      <c r="G184">
        <v>86466.599824619916</v>
      </c>
      <c r="H184">
        <v>0</v>
      </c>
      <c r="I184">
        <v>27740</v>
      </c>
      <c r="J184">
        <v>16571</v>
      </c>
      <c r="K184">
        <v>5548</v>
      </c>
      <c r="L184">
        <v>202136.70741596524</v>
      </c>
      <c r="M184">
        <f t="shared" si="40"/>
        <v>0.33699999999999997</v>
      </c>
      <c r="N184" s="19">
        <f t="shared" si="41"/>
        <v>83052.877399180274</v>
      </c>
      <c r="O184" s="19">
        <f t="shared" si="28"/>
        <v>84922.55339918028</v>
      </c>
      <c r="P184" s="22">
        <f t="shared" si="29"/>
        <v>0</v>
      </c>
      <c r="Q184" s="23">
        <f t="shared" si="30"/>
        <v>9348.3799999999992</v>
      </c>
      <c r="R184" s="23">
        <f t="shared" si="31"/>
        <v>5584.4269999999997</v>
      </c>
      <c r="S184" s="23">
        <f t="shared" si="32"/>
        <v>68120.070399180273</v>
      </c>
      <c r="T184" s="37">
        <f t="shared" si="33"/>
        <v>1869.6759999999997</v>
      </c>
      <c r="U184" s="20">
        <f t="shared" si="34"/>
        <v>39865.381151606533</v>
      </c>
      <c r="V184" s="20">
        <f t="shared" si="35"/>
        <v>43187.496247573741</v>
      </c>
      <c r="W184" s="20">
        <f t="shared" si="36"/>
        <v>9118.5651743907129</v>
      </c>
      <c r="X184" s="35">
        <f t="shared" si="37"/>
        <v>44360.587334873744</v>
      </c>
      <c r="Y184" s="35">
        <f t="shared" si="38"/>
        <v>29573.724889915829</v>
      </c>
    </row>
    <row r="185" spans="1:25" x14ac:dyDescent="0.35">
      <c r="A185" t="str">
        <f t="shared" si="39"/>
        <v>CD74</v>
      </c>
      <c r="B185" t="s">
        <v>382</v>
      </c>
      <c r="C185" t="s">
        <v>383</v>
      </c>
      <c r="E185">
        <v>1</v>
      </c>
      <c r="F185">
        <v>425732.98614158982</v>
      </c>
      <c r="G185">
        <v>146080.59844480152</v>
      </c>
      <c r="H185">
        <v>0</v>
      </c>
      <c r="I185">
        <v>2947</v>
      </c>
      <c r="J185">
        <v>728</v>
      </c>
      <c r="K185">
        <v>590</v>
      </c>
      <c r="L185">
        <v>421467.98614158982</v>
      </c>
      <c r="M185">
        <f t="shared" si="40"/>
        <v>0.33699999999999997</v>
      </c>
      <c r="N185" s="19">
        <f t="shared" si="41"/>
        <v>143273.18632971577</v>
      </c>
      <c r="O185" s="19">
        <f t="shared" si="28"/>
        <v>143472.01632971576</v>
      </c>
      <c r="P185" s="22">
        <f t="shared" si="29"/>
        <v>0</v>
      </c>
      <c r="Q185" s="23">
        <f t="shared" si="30"/>
        <v>993.1389999999999</v>
      </c>
      <c r="R185" s="23">
        <f t="shared" si="31"/>
        <v>245.33599999999998</v>
      </c>
      <c r="S185" s="23">
        <f t="shared" si="32"/>
        <v>142034.71132971576</v>
      </c>
      <c r="T185" s="37">
        <f t="shared" si="33"/>
        <v>198.82999999999998</v>
      </c>
      <c r="U185" s="20">
        <f t="shared" si="34"/>
        <v>68771.129438263568</v>
      </c>
      <c r="V185" s="20">
        <f t="shared" si="35"/>
        <v>74502.056891452201</v>
      </c>
      <c r="W185" s="20">
        <f t="shared" si="36"/>
        <v>15730.290487238823</v>
      </c>
      <c r="X185" s="35">
        <f t="shared" si="37"/>
        <v>76525.737505486162</v>
      </c>
      <c r="Y185" s="35">
        <f t="shared" si="38"/>
        <v>51017.158336990775</v>
      </c>
    </row>
    <row r="186" spans="1:25" x14ac:dyDescent="0.35">
      <c r="A186" t="str">
        <f t="shared" si="39"/>
        <v>CD74</v>
      </c>
      <c r="B186" t="s">
        <v>384</v>
      </c>
      <c r="C186" t="s">
        <v>385</v>
      </c>
      <c r="E186">
        <v>1</v>
      </c>
      <c r="F186">
        <v>382899.49649829505</v>
      </c>
      <c r="G186">
        <v>131383.25996210589</v>
      </c>
      <c r="H186">
        <v>0</v>
      </c>
      <c r="I186">
        <v>1785</v>
      </c>
      <c r="J186">
        <v>7665</v>
      </c>
      <c r="K186">
        <v>357</v>
      </c>
      <c r="L186">
        <v>373092.49649829505</v>
      </c>
      <c r="M186">
        <f t="shared" si="40"/>
        <v>0.33699999999999997</v>
      </c>
      <c r="N186" s="19">
        <f t="shared" si="41"/>
        <v>128916.82131992541</v>
      </c>
      <c r="O186" s="19">
        <f t="shared" si="28"/>
        <v>129037.13031992542</v>
      </c>
      <c r="P186" s="22">
        <f t="shared" si="29"/>
        <v>0</v>
      </c>
      <c r="Q186" s="23">
        <f t="shared" si="30"/>
        <v>601.54499999999996</v>
      </c>
      <c r="R186" s="23">
        <f t="shared" si="31"/>
        <v>2583.1049999999996</v>
      </c>
      <c r="S186" s="23">
        <f t="shared" si="32"/>
        <v>125732.17131992542</v>
      </c>
      <c r="T186" s="37">
        <f t="shared" si="33"/>
        <v>120.30899999999998</v>
      </c>
      <c r="U186" s="20">
        <f t="shared" si="34"/>
        <v>61880.074233564192</v>
      </c>
      <c r="V186" s="20">
        <f t="shared" si="35"/>
        <v>67036.747086361211</v>
      </c>
      <c r="W186" s="20">
        <f t="shared" si="36"/>
        <v>14154.072370436916</v>
      </c>
      <c r="X186" s="35">
        <f t="shared" si="37"/>
        <v>68857.649369693099</v>
      </c>
      <c r="Y186" s="35">
        <f t="shared" si="38"/>
        <v>45905.099579795402</v>
      </c>
    </row>
    <row r="187" spans="1:25" x14ac:dyDescent="0.35">
      <c r="A187" t="str">
        <f t="shared" si="39"/>
        <v>CD74</v>
      </c>
      <c r="B187" t="s">
        <v>386</v>
      </c>
      <c r="C187" t="s">
        <v>387</v>
      </c>
      <c r="E187">
        <v>1</v>
      </c>
      <c r="F187">
        <v>457350.56010502472</v>
      </c>
      <c r="G187">
        <v>156929.45036912776</v>
      </c>
      <c r="H187">
        <v>8908</v>
      </c>
      <c r="I187">
        <v>346</v>
      </c>
      <c r="J187">
        <v>832</v>
      </c>
      <c r="K187">
        <v>69</v>
      </c>
      <c r="L187">
        <v>447195.56010502472</v>
      </c>
      <c r="M187">
        <f t="shared" si="40"/>
        <v>0.33699999999999997</v>
      </c>
      <c r="N187" s="19">
        <f t="shared" si="41"/>
        <v>154103.8857553933</v>
      </c>
      <c r="O187" s="19">
        <f t="shared" si="28"/>
        <v>154127.1387553933</v>
      </c>
      <c r="P187" s="22">
        <f t="shared" si="29"/>
        <v>3001.9959999999996</v>
      </c>
      <c r="Q187" s="23">
        <f t="shared" si="30"/>
        <v>116.60199999999999</v>
      </c>
      <c r="R187" s="23">
        <f t="shared" si="31"/>
        <v>280.38399999999996</v>
      </c>
      <c r="S187" s="23">
        <f t="shared" si="32"/>
        <v>150704.90375539332</v>
      </c>
      <c r="T187" s="37">
        <f t="shared" si="33"/>
        <v>23.252999999999997</v>
      </c>
      <c r="U187" s="20">
        <f t="shared" si="34"/>
        <v>73969.865162588787</v>
      </c>
      <c r="V187" s="20">
        <f t="shared" si="35"/>
        <v>80134.020592804518</v>
      </c>
      <c r="W187" s="20">
        <f t="shared" si="36"/>
        <v>16919.417723885916</v>
      </c>
      <c r="X187" s="35">
        <f t="shared" si="37"/>
        <v>82310.680818904453</v>
      </c>
      <c r="Y187" s="35">
        <f t="shared" si="38"/>
        <v>54873.787212602962</v>
      </c>
    </row>
    <row r="188" spans="1:25" x14ac:dyDescent="0.35">
      <c r="A188" t="str">
        <f t="shared" si="39"/>
        <v>CD74</v>
      </c>
      <c r="B188" t="s">
        <v>388</v>
      </c>
      <c r="C188" t="s">
        <v>389</v>
      </c>
      <c r="E188">
        <v>1</v>
      </c>
      <c r="F188">
        <v>289273.7327910809</v>
      </c>
      <c r="G188">
        <v>99257.707004241427</v>
      </c>
      <c r="H188">
        <v>3378</v>
      </c>
      <c r="I188">
        <v>235</v>
      </c>
      <c r="J188">
        <v>664</v>
      </c>
      <c r="K188">
        <v>47</v>
      </c>
      <c r="L188">
        <v>284949.7327910809</v>
      </c>
      <c r="M188">
        <f t="shared" si="40"/>
        <v>0.33699999999999997</v>
      </c>
      <c r="N188" s="19">
        <f t="shared" si="41"/>
        <v>97469.408950594254</v>
      </c>
      <c r="O188" s="19">
        <f t="shared" si="28"/>
        <v>97485.247950594247</v>
      </c>
      <c r="P188" s="22">
        <f t="shared" si="29"/>
        <v>1138.386</v>
      </c>
      <c r="Q188" s="23">
        <f t="shared" si="30"/>
        <v>79.194999999999993</v>
      </c>
      <c r="R188" s="23">
        <f t="shared" si="31"/>
        <v>223.76799999999997</v>
      </c>
      <c r="S188" s="23">
        <f t="shared" si="32"/>
        <v>96028.059950594252</v>
      </c>
      <c r="T188" s="37">
        <f t="shared" si="33"/>
        <v>15.838999999999999</v>
      </c>
      <c r="U188" s="20">
        <f t="shared" si="34"/>
        <v>46785.316296285237</v>
      </c>
      <c r="V188" s="20">
        <f t="shared" si="35"/>
        <v>50684.092654309017</v>
      </c>
      <c r="W188" s="20">
        <f t="shared" si="36"/>
        <v>10701.389113269992</v>
      </c>
      <c r="X188" s="35">
        <f t="shared" si="37"/>
        <v>52060.811902394562</v>
      </c>
      <c r="Y188" s="35">
        <f t="shared" si="38"/>
        <v>34707.207934929706</v>
      </c>
    </row>
    <row r="189" spans="1:25" x14ac:dyDescent="0.35">
      <c r="A189" t="str">
        <f t="shared" si="39"/>
        <v>CD74</v>
      </c>
      <c r="B189" t="s">
        <v>390</v>
      </c>
      <c r="C189" t="s">
        <v>391</v>
      </c>
      <c r="E189">
        <v>1</v>
      </c>
      <c r="F189">
        <v>393317.25690647436</v>
      </c>
      <c r="G189">
        <v>134957.87767889063</v>
      </c>
      <c r="H189">
        <v>4277</v>
      </c>
      <c r="I189">
        <v>2590</v>
      </c>
      <c r="J189">
        <v>2884</v>
      </c>
      <c r="K189">
        <v>518</v>
      </c>
      <c r="L189">
        <v>383048.25690647436</v>
      </c>
      <c r="M189">
        <f t="shared" si="40"/>
        <v>0.33699999999999997</v>
      </c>
      <c r="N189" s="19">
        <f t="shared" si="41"/>
        <v>132373.34957748186</v>
      </c>
      <c r="O189" s="19">
        <f t="shared" si="28"/>
        <v>132547.91557748185</v>
      </c>
      <c r="P189" s="22">
        <f t="shared" si="29"/>
        <v>1441.3489999999999</v>
      </c>
      <c r="Q189" s="23">
        <f t="shared" si="30"/>
        <v>872.82999999999993</v>
      </c>
      <c r="R189" s="23">
        <f t="shared" si="31"/>
        <v>971.9079999999999</v>
      </c>
      <c r="S189" s="23">
        <f t="shared" si="32"/>
        <v>129087.26257748184</v>
      </c>
      <c r="T189" s="37">
        <f t="shared" si="33"/>
        <v>174.56599999999997</v>
      </c>
      <c r="U189" s="20">
        <f t="shared" si="34"/>
        <v>63539.207797191288</v>
      </c>
      <c r="V189" s="20">
        <f t="shared" si="35"/>
        <v>68834.141780290563</v>
      </c>
      <c r="W189" s="20">
        <f t="shared" si="36"/>
        <v>14533.572505539551</v>
      </c>
      <c r="X189" s="35">
        <f t="shared" si="37"/>
        <v>70703.866243165379</v>
      </c>
      <c r="Y189" s="35">
        <f t="shared" si="38"/>
        <v>47135.91082877692</v>
      </c>
    </row>
    <row r="190" spans="1:25" x14ac:dyDescent="0.35">
      <c r="A190" t="str">
        <f t="shared" si="39"/>
        <v>CD82</v>
      </c>
      <c r="B190" t="s">
        <v>392</v>
      </c>
      <c r="C190" t="s">
        <v>393</v>
      </c>
      <c r="E190">
        <v>1</v>
      </c>
      <c r="F190">
        <v>326827.75568638899</v>
      </c>
      <c r="G190">
        <v>112143.51646024606</v>
      </c>
      <c r="H190">
        <v>0</v>
      </c>
      <c r="I190">
        <v>0</v>
      </c>
      <c r="J190">
        <v>0</v>
      </c>
      <c r="K190">
        <v>0</v>
      </c>
      <c r="L190">
        <v>326827.75568638899</v>
      </c>
      <c r="M190">
        <f t="shared" si="40"/>
        <v>0.33699999999999997</v>
      </c>
      <c r="N190" s="19">
        <f t="shared" si="41"/>
        <v>110140.95366631309</v>
      </c>
      <c r="O190" s="19">
        <f t="shared" si="28"/>
        <v>110140.95366631309</v>
      </c>
      <c r="P190" s="22">
        <f t="shared" si="29"/>
        <v>0</v>
      </c>
      <c r="Q190" s="23">
        <f t="shared" si="30"/>
        <v>0</v>
      </c>
      <c r="R190" s="23">
        <f t="shared" si="31"/>
        <v>0</v>
      </c>
      <c r="S190" s="23">
        <f t="shared" si="32"/>
        <v>110140.95366631309</v>
      </c>
      <c r="T190" s="37">
        <f t="shared" si="33"/>
        <v>0</v>
      </c>
      <c r="U190" s="20">
        <f t="shared" si="34"/>
        <v>52867.657759830276</v>
      </c>
      <c r="V190" s="20">
        <f t="shared" si="35"/>
        <v>57273.29590648281</v>
      </c>
      <c r="W190" s="20">
        <f t="shared" si="36"/>
        <v>12092.626960396392</v>
      </c>
      <c r="X190" s="35">
        <f t="shared" si="37"/>
        <v>58828.996023550018</v>
      </c>
      <c r="Y190" s="35">
        <f t="shared" si="38"/>
        <v>39219.330682366679</v>
      </c>
    </row>
    <row r="191" spans="1:25" x14ac:dyDescent="0.35">
      <c r="A191" t="str">
        <f t="shared" si="39"/>
        <v>CD82</v>
      </c>
      <c r="B191" t="s">
        <v>394</v>
      </c>
      <c r="C191" t="s">
        <v>395</v>
      </c>
      <c r="E191">
        <v>1</v>
      </c>
      <c r="F191">
        <v>193456.07568757542</v>
      </c>
      <c r="G191">
        <v>66380.055643198604</v>
      </c>
      <c r="H191">
        <v>0</v>
      </c>
      <c r="I191">
        <v>0</v>
      </c>
      <c r="J191">
        <v>0</v>
      </c>
      <c r="K191">
        <v>0</v>
      </c>
      <c r="L191">
        <v>193456.07568757542</v>
      </c>
      <c r="M191">
        <f t="shared" si="40"/>
        <v>0.33699999999999997</v>
      </c>
      <c r="N191" s="19">
        <f t="shared" si="41"/>
        <v>65194.69750671291</v>
      </c>
      <c r="O191" s="19">
        <f t="shared" si="28"/>
        <v>65194.69750671291</v>
      </c>
      <c r="P191" s="22">
        <f t="shared" si="29"/>
        <v>0</v>
      </c>
      <c r="Q191" s="23">
        <f t="shared" si="30"/>
        <v>0</v>
      </c>
      <c r="R191" s="23">
        <f t="shared" si="31"/>
        <v>0</v>
      </c>
      <c r="S191" s="23">
        <f t="shared" si="32"/>
        <v>65194.69750671291</v>
      </c>
      <c r="T191" s="37">
        <f t="shared" si="33"/>
        <v>0</v>
      </c>
      <c r="U191" s="20">
        <f t="shared" si="34"/>
        <v>31293.454803222194</v>
      </c>
      <c r="V191" s="20">
        <f t="shared" si="35"/>
        <v>33901.242703490716</v>
      </c>
      <c r="W191" s="20">
        <f t="shared" si="36"/>
        <v>7157.8748004402896</v>
      </c>
      <c r="X191" s="35">
        <f t="shared" si="37"/>
        <v>34822.093623763576</v>
      </c>
      <c r="Y191" s="35">
        <f t="shared" si="38"/>
        <v>23214.729082509049</v>
      </c>
    </row>
    <row r="192" spans="1:25" x14ac:dyDescent="0.35">
      <c r="A192" t="str">
        <f t="shared" si="39"/>
        <v>CD82</v>
      </c>
      <c r="B192" t="s">
        <v>396</v>
      </c>
      <c r="C192" t="s">
        <v>397</v>
      </c>
      <c r="E192">
        <v>1</v>
      </c>
      <c r="F192">
        <v>111069.30052660068</v>
      </c>
      <c r="G192">
        <v>38110.906173418327</v>
      </c>
      <c r="H192">
        <v>0</v>
      </c>
      <c r="I192">
        <v>0</v>
      </c>
      <c r="J192">
        <v>0</v>
      </c>
      <c r="K192">
        <v>0</v>
      </c>
      <c r="L192">
        <v>111069.30052660068</v>
      </c>
      <c r="M192">
        <f t="shared" si="40"/>
        <v>0.33699999999999997</v>
      </c>
      <c r="N192" s="19">
        <f t="shared" si="41"/>
        <v>37430.354277464423</v>
      </c>
      <c r="O192" s="19">
        <f t="shared" si="28"/>
        <v>37430.354277464423</v>
      </c>
      <c r="P192" s="22">
        <f t="shared" si="29"/>
        <v>0</v>
      </c>
      <c r="Q192" s="23">
        <f t="shared" si="30"/>
        <v>0</v>
      </c>
      <c r="R192" s="23">
        <f t="shared" si="31"/>
        <v>0</v>
      </c>
      <c r="S192" s="23">
        <f t="shared" si="32"/>
        <v>37430.354277464423</v>
      </c>
      <c r="T192" s="37">
        <f t="shared" si="33"/>
        <v>0</v>
      </c>
      <c r="U192" s="20">
        <f t="shared" si="34"/>
        <v>17966.570053182921</v>
      </c>
      <c r="V192" s="20">
        <f t="shared" si="35"/>
        <v>19463.784224281502</v>
      </c>
      <c r="W192" s="20">
        <f t="shared" si="36"/>
        <v>4109.5641194842246</v>
      </c>
      <c r="X192" s="35">
        <f t="shared" si="37"/>
        <v>19992.474094788122</v>
      </c>
      <c r="Y192" s="35">
        <f t="shared" si="38"/>
        <v>13328.316063192082</v>
      </c>
    </row>
    <row r="193" spans="1:25" x14ac:dyDescent="0.35">
      <c r="A193" t="str">
        <f t="shared" si="39"/>
        <v>CD83</v>
      </c>
      <c r="B193" t="s">
        <v>398</v>
      </c>
      <c r="C193" t="s">
        <v>399</v>
      </c>
      <c r="E193">
        <v>1</v>
      </c>
      <c r="F193">
        <v>147383.98527604845</v>
      </c>
      <c r="G193">
        <v>50571.464911447016</v>
      </c>
      <c r="H193">
        <v>0</v>
      </c>
      <c r="I193">
        <v>0</v>
      </c>
      <c r="J193">
        <v>0</v>
      </c>
      <c r="K193">
        <v>0</v>
      </c>
      <c r="L193">
        <v>147383.98527604845</v>
      </c>
      <c r="M193">
        <f t="shared" si="40"/>
        <v>0.33699999999999997</v>
      </c>
      <c r="N193" s="19">
        <f t="shared" si="41"/>
        <v>49668.403038028322</v>
      </c>
      <c r="O193" s="19">
        <f t="shared" si="28"/>
        <v>49668.403038028322</v>
      </c>
      <c r="P193" s="22">
        <f t="shared" si="29"/>
        <v>0</v>
      </c>
      <c r="Q193" s="23">
        <f t="shared" si="30"/>
        <v>0</v>
      </c>
      <c r="R193" s="23">
        <f t="shared" si="31"/>
        <v>0</v>
      </c>
      <c r="S193" s="23">
        <f t="shared" si="32"/>
        <v>49668.403038028322</v>
      </c>
      <c r="T193" s="37">
        <f t="shared" si="33"/>
        <v>0</v>
      </c>
      <c r="U193" s="20">
        <f t="shared" si="34"/>
        <v>23840.833458253594</v>
      </c>
      <c r="V193" s="20">
        <f t="shared" si="35"/>
        <v>25827.569579774728</v>
      </c>
      <c r="W193" s="20">
        <f t="shared" si="36"/>
        <v>5453.2074552137919</v>
      </c>
      <c r="X193" s="35">
        <f t="shared" si="37"/>
        <v>26529.11734968872</v>
      </c>
      <c r="Y193" s="35">
        <f t="shared" si="38"/>
        <v>17686.078233125812</v>
      </c>
    </row>
    <row r="194" spans="1:25" x14ac:dyDescent="0.35">
      <c r="A194" t="str">
        <f t="shared" si="39"/>
        <v>CD83</v>
      </c>
      <c r="B194" t="s">
        <v>400</v>
      </c>
      <c r="C194" t="s">
        <v>401</v>
      </c>
      <c r="E194">
        <v>1</v>
      </c>
      <c r="F194">
        <v>119426.08924779962</v>
      </c>
      <c r="G194">
        <v>40978.348296081356</v>
      </c>
      <c r="H194">
        <v>0</v>
      </c>
      <c r="I194">
        <v>0</v>
      </c>
      <c r="J194">
        <v>0</v>
      </c>
      <c r="K194">
        <v>0</v>
      </c>
      <c r="L194">
        <v>119426.08924779962</v>
      </c>
      <c r="M194">
        <f t="shared" si="40"/>
        <v>0.33699999999999997</v>
      </c>
      <c r="N194" s="19">
        <f t="shared" si="41"/>
        <v>40246.592076508467</v>
      </c>
      <c r="O194" s="19">
        <f t="shared" ref="O194:O209" si="42">F194*M194</f>
        <v>40246.592076508467</v>
      </c>
      <c r="P194" s="22">
        <f t="shared" ref="P194:P209" si="43">H194*M194</f>
        <v>0</v>
      </c>
      <c r="Q194" s="23">
        <f t="shared" ref="Q194:Q209" si="44">I194*M194</f>
        <v>0</v>
      </c>
      <c r="R194" s="23">
        <f t="shared" ref="R194:R209" si="45">J194*M194</f>
        <v>0</v>
      </c>
      <c r="S194" s="23">
        <f t="shared" ref="S194:S209" si="46">L194*M194</f>
        <v>40246.592076508467</v>
      </c>
      <c r="T194" s="37">
        <f t="shared" ref="T194:T209" si="47">K194*M194</f>
        <v>0</v>
      </c>
      <c r="U194" s="20">
        <f t="shared" ref="U194:U209" si="48">N194*0.48</f>
        <v>19318.364196724062</v>
      </c>
      <c r="V194" s="20">
        <f t="shared" ref="V194:V209" si="49">N194*0.52</f>
        <v>20928.227879784405</v>
      </c>
      <c r="W194" s="20">
        <f t="shared" ref="W194:W209" si="50">(F194-K194)*0.037</f>
        <v>4418.7653021685855</v>
      </c>
      <c r="X194" s="35">
        <f t="shared" ref="X194:X209" si="51">(F194-K194)*0.18</f>
        <v>21496.696064603933</v>
      </c>
      <c r="Y194" s="35">
        <f t="shared" ref="Y194:Y209" si="52">(F194-K194)*0.12</f>
        <v>14331.130709735955</v>
      </c>
    </row>
    <row r="195" spans="1:25" x14ac:dyDescent="0.35">
      <c r="A195" t="str">
        <f t="shared" ref="A195:A209" si="53">LEFT(C195,2) &amp; LEFT(MID(C195,3,LEN(C195)-2),2)</f>
        <v>CD91</v>
      </c>
      <c r="B195" t="s">
        <v>402</v>
      </c>
      <c r="C195" t="s">
        <v>403</v>
      </c>
      <c r="E195">
        <v>1</v>
      </c>
      <c r="F195">
        <v>285724.38260630216</v>
      </c>
      <c r="G195">
        <v>98039.828155384268</v>
      </c>
      <c r="H195">
        <v>0</v>
      </c>
      <c r="I195">
        <v>0</v>
      </c>
      <c r="J195">
        <v>0</v>
      </c>
      <c r="K195">
        <v>0</v>
      </c>
      <c r="L195">
        <v>285724.38260630216</v>
      </c>
      <c r="M195">
        <f t="shared" ref="M195:M209" si="54">0.037+0.12+0.18</f>
        <v>0.33699999999999997</v>
      </c>
      <c r="N195" s="19">
        <f t="shared" ref="N195:N209" si="55">SUM(P195:S195)</f>
        <v>96289.116938323816</v>
      </c>
      <c r="O195" s="19">
        <f t="shared" si="42"/>
        <v>96289.116938323816</v>
      </c>
      <c r="P195" s="22">
        <f t="shared" si="43"/>
        <v>0</v>
      </c>
      <c r="Q195" s="23">
        <f t="shared" si="44"/>
        <v>0</v>
      </c>
      <c r="R195" s="23">
        <f t="shared" si="45"/>
        <v>0</v>
      </c>
      <c r="S195" s="23">
        <f t="shared" si="46"/>
        <v>96289.116938323816</v>
      </c>
      <c r="T195" s="37">
        <f t="shared" si="47"/>
        <v>0</v>
      </c>
      <c r="U195" s="20">
        <f t="shared" si="48"/>
        <v>46218.776130395432</v>
      </c>
      <c r="V195" s="20">
        <f t="shared" si="49"/>
        <v>50070.340807928384</v>
      </c>
      <c r="W195" s="20">
        <f t="shared" si="50"/>
        <v>10571.802156433179</v>
      </c>
      <c r="X195" s="35">
        <f t="shared" si="51"/>
        <v>51430.388869134389</v>
      </c>
      <c r="Y195" s="35">
        <f t="shared" si="52"/>
        <v>34286.925912756255</v>
      </c>
    </row>
    <row r="196" spans="1:25" x14ac:dyDescent="0.35">
      <c r="A196" t="str">
        <f t="shared" si="53"/>
        <v>CD91</v>
      </c>
      <c r="B196" t="s">
        <v>404</v>
      </c>
      <c r="C196" t="s">
        <v>405</v>
      </c>
      <c r="E196">
        <v>1</v>
      </c>
      <c r="F196">
        <v>125710.27120424587</v>
      </c>
      <c r="G196">
        <v>43134.622512118687</v>
      </c>
      <c r="H196">
        <v>0</v>
      </c>
      <c r="I196">
        <v>0</v>
      </c>
      <c r="J196">
        <v>0</v>
      </c>
      <c r="K196">
        <v>0</v>
      </c>
      <c r="L196">
        <v>125710.27120424587</v>
      </c>
      <c r="M196">
        <f t="shared" si="54"/>
        <v>0.33699999999999997</v>
      </c>
      <c r="N196" s="19">
        <f t="shared" si="55"/>
        <v>42364.361395830856</v>
      </c>
      <c r="O196" s="19">
        <f t="shared" si="42"/>
        <v>42364.361395830856</v>
      </c>
      <c r="P196" s="22">
        <f t="shared" si="43"/>
        <v>0</v>
      </c>
      <c r="Q196" s="23">
        <f t="shared" si="44"/>
        <v>0</v>
      </c>
      <c r="R196" s="23">
        <f t="shared" si="45"/>
        <v>0</v>
      </c>
      <c r="S196" s="23">
        <f t="shared" si="46"/>
        <v>42364.361395830856</v>
      </c>
      <c r="T196" s="37">
        <f t="shared" si="47"/>
        <v>0</v>
      </c>
      <c r="U196" s="20">
        <f t="shared" si="48"/>
        <v>20334.893469998809</v>
      </c>
      <c r="V196" s="20">
        <f t="shared" si="49"/>
        <v>22029.467925832047</v>
      </c>
      <c r="W196" s="20">
        <f t="shared" si="50"/>
        <v>4651.2800345570968</v>
      </c>
      <c r="X196" s="35">
        <f t="shared" si="51"/>
        <v>22627.848816764257</v>
      </c>
      <c r="Y196" s="35">
        <f t="shared" si="52"/>
        <v>15085.232544509505</v>
      </c>
    </row>
    <row r="197" spans="1:25" x14ac:dyDescent="0.35">
      <c r="A197" t="str">
        <f t="shared" si="53"/>
        <v>CD91</v>
      </c>
      <c r="B197" t="s">
        <v>406</v>
      </c>
      <c r="C197" t="s">
        <v>407</v>
      </c>
      <c r="E197">
        <v>1</v>
      </c>
      <c r="F197">
        <v>157399.68173218303</v>
      </c>
      <c r="G197">
        <v>54008.123520904686</v>
      </c>
      <c r="H197">
        <v>0</v>
      </c>
      <c r="I197">
        <v>0</v>
      </c>
      <c r="J197">
        <v>0</v>
      </c>
      <c r="K197">
        <v>0</v>
      </c>
      <c r="L197">
        <v>157399.68173218303</v>
      </c>
      <c r="M197">
        <f t="shared" si="54"/>
        <v>0.33699999999999997</v>
      </c>
      <c r="N197" s="19">
        <f t="shared" si="55"/>
        <v>53043.692743745676</v>
      </c>
      <c r="O197" s="19">
        <f t="shared" si="42"/>
        <v>53043.692743745676</v>
      </c>
      <c r="P197" s="22">
        <f t="shared" si="43"/>
        <v>0</v>
      </c>
      <c r="Q197" s="23">
        <f t="shared" si="44"/>
        <v>0</v>
      </c>
      <c r="R197" s="23">
        <f t="shared" si="45"/>
        <v>0</v>
      </c>
      <c r="S197" s="23">
        <f t="shared" si="46"/>
        <v>53043.692743745676</v>
      </c>
      <c r="T197" s="37">
        <f t="shared" si="47"/>
        <v>0</v>
      </c>
      <c r="U197" s="20">
        <f t="shared" si="48"/>
        <v>25460.972516997925</v>
      </c>
      <c r="V197" s="20">
        <f t="shared" si="49"/>
        <v>27582.720226747751</v>
      </c>
      <c r="W197" s="20">
        <f t="shared" si="50"/>
        <v>5823.788224090772</v>
      </c>
      <c r="X197" s="35">
        <f t="shared" si="51"/>
        <v>28331.942711792944</v>
      </c>
      <c r="Y197" s="35">
        <f t="shared" si="52"/>
        <v>18887.961807861964</v>
      </c>
    </row>
    <row r="198" spans="1:25" x14ac:dyDescent="0.35">
      <c r="A198" t="str">
        <f t="shared" si="53"/>
        <v>CD91</v>
      </c>
      <c r="B198" t="s">
        <v>60</v>
      </c>
      <c r="C198" t="s">
        <v>408</v>
      </c>
      <c r="E198">
        <v>1</v>
      </c>
      <c r="F198">
        <v>103011.01638786748</v>
      </c>
      <c r="G198">
        <v>35345.889114033365</v>
      </c>
      <c r="H198">
        <v>0</v>
      </c>
      <c r="I198">
        <v>0</v>
      </c>
      <c r="J198">
        <v>0</v>
      </c>
      <c r="K198">
        <v>0</v>
      </c>
      <c r="L198">
        <v>103011.01638786748</v>
      </c>
      <c r="M198">
        <f t="shared" si="54"/>
        <v>0.33699999999999997</v>
      </c>
      <c r="N198" s="19">
        <f t="shared" si="55"/>
        <v>34714.712522711336</v>
      </c>
      <c r="O198" s="19">
        <f t="shared" si="42"/>
        <v>34714.712522711336</v>
      </c>
      <c r="P198" s="22">
        <f t="shared" si="43"/>
        <v>0</v>
      </c>
      <c r="Q198" s="23">
        <f t="shared" si="44"/>
        <v>0</v>
      </c>
      <c r="R198" s="23">
        <f t="shared" si="45"/>
        <v>0</v>
      </c>
      <c r="S198" s="23">
        <f t="shared" si="46"/>
        <v>34714.712522711336</v>
      </c>
      <c r="T198" s="37">
        <f t="shared" si="47"/>
        <v>0</v>
      </c>
      <c r="U198" s="20">
        <f t="shared" si="48"/>
        <v>16663.062010901442</v>
      </c>
      <c r="V198" s="20">
        <f t="shared" si="49"/>
        <v>18051.650511809894</v>
      </c>
      <c r="W198" s="20">
        <f t="shared" si="50"/>
        <v>3811.4076063510965</v>
      </c>
      <c r="X198" s="35">
        <f t="shared" si="51"/>
        <v>18541.982949816145</v>
      </c>
      <c r="Y198" s="35">
        <f t="shared" si="52"/>
        <v>12361.321966544097</v>
      </c>
    </row>
    <row r="199" spans="1:25" x14ac:dyDescent="0.35">
      <c r="A199" t="str">
        <f t="shared" si="53"/>
        <v>CD92</v>
      </c>
      <c r="B199" t="s">
        <v>409</v>
      </c>
      <c r="C199" t="s">
        <v>410</v>
      </c>
      <c r="E199">
        <v>1</v>
      </c>
      <c r="F199">
        <v>386583.02355730213</v>
      </c>
      <c r="G199">
        <v>132647.17855588012</v>
      </c>
      <c r="H199">
        <v>0</v>
      </c>
      <c r="I199">
        <v>0</v>
      </c>
      <c r="J199">
        <v>0</v>
      </c>
      <c r="K199">
        <v>0</v>
      </c>
      <c r="L199">
        <v>386583.02355730213</v>
      </c>
      <c r="M199">
        <f t="shared" si="54"/>
        <v>0.33699999999999997</v>
      </c>
      <c r="N199" s="19">
        <f t="shared" si="55"/>
        <v>130278.4789388108</v>
      </c>
      <c r="O199" s="19">
        <f t="shared" si="42"/>
        <v>130278.4789388108</v>
      </c>
      <c r="P199" s="22">
        <f t="shared" si="43"/>
        <v>0</v>
      </c>
      <c r="Q199" s="23">
        <f t="shared" si="44"/>
        <v>0</v>
      </c>
      <c r="R199" s="23">
        <f t="shared" si="45"/>
        <v>0</v>
      </c>
      <c r="S199" s="23">
        <f t="shared" si="46"/>
        <v>130278.4789388108</v>
      </c>
      <c r="T199" s="37">
        <f t="shared" si="47"/>
        <v>0</v>
      </c>
      <c r="U199" s="20">
        <f t="shared" si="48"/>
        <v>62533.669890629186</v>
      </c>
      <c r="V199" s="20">
        <f t="shared" si="49"/>
        <v>67744.809048181618</v>
      </c>
      <c r="W199" s="20">
        <f t="shared" si="50"/>
        <v>14303.571871620179</v>
      </c>
      <c r="X199" s="35">
        <f t="shared" si="51"/>
        <v>69584.944240314377</v>
      </c>
      <c r="Y199" s="35">
        <f t="shared" si="52"/>
        <v>46389.962826876254</v>
      </c>
    </row>
    <row r="200" spans="1:25" x14ac:dyDescent="0.35">
      <c r="A200" t="str">
        <f t="shared" si="53"/>
        <v>CD92</v>
      </c>
      <c r="B200" t="s">
        <v>411</v>
      </c>
      <c r="C200" t="s">
        <v>412</v>
      </c>
      <c r="E200">
        <v>1</v>
      </c>
      <c r="F200">
        <v>305105.35274016485</v>
      </c>
      <c r="G200">
        <v>104689.96758022529</v>
      </c>
      <c r="H200">
        <v>0</v>
      </c>
      <c r="I200">
        <v>0</v>
      </c>
      <c r="J200">
        <v>0</v>
      </c>
      <c r="K200">
        <v>0</v>
      </c>
      <c r="L200">
        <v>305105.35274016485</v>
      </c>
      <c r="M200">
        <f t="shared" si="54"/>
        <v>0.33699999999999997</v>
      </c>
      <c r="N200" s="19">
        <f t="shared" si="55"/>
        <v>102820.50387343555</v>
      </c>
      <c r="O200" s="19">
        <f t="shared" si="42"/>
        <v>102820.50387343555</v>
      </c>
      <c r="P200" s="22">
        <f t="shared" si="43"/>
        <v>0</v>
      </c>
      <c r="Q200" s="23">
        <f t="shared" si="44"/>
        <v>0</v>
      </c>
      <c r="R200" s="23">
        <f t="shared" si="45"/>
        <v>0</v>
      </c>
      <c r="S200" s="23">
        <f t="shared" si="46"/>
        <v>102820.50387343555</v>
      </c>
      <c r="T200" s="37">
        <f t="shared" si="47"/>
        <v>0</v>
      </c>
      <c r="U200" s="20">
        <f t="shared" si="48"/>
        <v>49353.841859249063</v>
      </c>
      <c r="V200" s="20">
        <f t="shared" si="49"/>
        <v>53466.662014186484</v>
      </c>
      <c r="W200" s="20">
        <f t="shared" si="50"/>
        <v>11288.898051386099</v>
      </c>
      <c r="X200" s="35">
        <f t="shared" si="51"/>
        <v>54918.963493229669</v>
      </c>
      <c r="Y200" s="35">
        <f t="shared" si="52"/>
        <v>36612.642328819777</v>
      </c>
    </row>
    <row r="201" spans="1:25" x14ac:dyDescent="0.35">
      <c r="A201" t="str">
        <f t="shared" si="53"/>
        <v>CD92</v>
      </c>
      <c r="B201" t="s">
        <v>413</v>
      </c>
      <c r="C201" t="s">
        <v>414</v>
      </c>
      <c r="E201">
        <v>1</v>
      </c>
      <c r="F201">
        <v>228409.51350860708</v>
      </c>
      <c r="G201">
        <v>78373.533435171499</v>
      </c>
      <c r="H201">
        <v>0</v>
      </c>
      <c r="I201">
        <v>0</v>
      </c>
      <c r="J201">
        <v>0</v>
      </c>
      <c r="K201">
        <v>0</v>
      </c>
      <c r="L201">
        <v>228409.51350860708</v>
      </c>
      <c r="M201">
        <f t="shared" si="54"/>
        <v>0.33699999999999997</v>
      </c>
      <c r="N201" s="19">
        <f t="shared" si="55"/>
        <v>76974.006052400582</v>
      </c>
      <c r="O201" s="19">
        <f t="shared" si="42"/>
        <v>76974.006052400582</v>
      </c>
      <c r="P201" s="22">
        <f t="shared" si="43"/>
        <v>0</v>
      </c>
      <c r="Q201" s="23">
        <f t="shared" si="44"/>
        <v>0</v>
      </c>
      <c r="R201" s="23">
        <f t="shared" si="45"/>
        <v>0</v>
      </c>
      <c r="S201" s="23">
        <f t="shared" si="46"/>
        <v>76974.006052400582</v>
      </c>
      <c r="T201" s="37">
        <f t="shared" si="47"/>
        <v>0</v>
      </c>
      <c r="U201" s="20">
        <f t="shared" si="48"/>
        <v>36947.522905152277</v>
      </c>
      <c r="V201" s="20">
        <f t="shared" si="49"/>
        <v>40026.483147248306</v>
      </c>
      <c r="W201" s="20">
        <f t="shared" si="50"/>
        <v>8451.1519998184613</v>
      </c>
      <c r="X201" s="35">
        <f t="shared" si="51"/>
        <v>41113.712431549277</v>
      </c>
      <c r="Y201" s="35">
        <f t="shared" si="52"/>
        <v>27409.14162103285</v>
      </c>
    </row>
    <row r="202" spans="1:25" x14ac:dyDescent="0.35">
      <c r="A202" t="str">
        <f t="shared" si="53"/>
        <v>CD92</v>
      </c>
      <c r="B202" t="s">
        <v>415</v>
      </c>
      <c r="C202" t="s">
        <v>416</v>
      </c>
      <c r="E202">
        <v>1</v>
      </c>
      <c r="F202">
        <v>117369.02752979369</v>
      </c>
      <c r="G202">
        <v>40272.5143189503</v>
      </c>
      <c r="H202">
        <v>0</v>
      </c>
      <c r="I202">
        <v>0</v>
      </c>
      <c r="J202">
        <v>0</v>
      </c>
      <c r="K202">
        <v>0</v>
      </c>
      <c r="L202">
        <v>117369.02752979369</v>
      </c>
      <c r="M202">
        <f t="shared" si="54"/>
        <v>0.33699999999999997</v>
      </c>
      <c r="N202" s="19">
        <f t="shared" si="55"/>
        <v>39553.362277540473</v>
      </c>
      <c r="O202" s="19">
        <f t="shared" si="42"/>
        <v>39553.362277540473</v>
      </c>
      <c r="P202" s="22">
        <f t="shared" si="43"/>
        <v>0</v>
      </c>
      <c r="Q202" s="23">
        <f t="shared" si="44"/>
        <v>0</v>
      </c>
      <c r="R202" s="23">
        <f t="shared" si="45"/>
        <v>0</v>
      </c>
      <c r="S202" s="23">
        <f t="shared" si="46"/>
        <v>39553.362277540473</v>
      </c>
      <c r="T202" s="37">
        <f t="shared" si="47"/>
        <v>0</v>
      </c>
      <c r="U202" s="20">
        <f t="shared" si="48"/>
        <v>18985.613893219426</v>
      </c>
      <c r="V202" s="20">
        <f t="shared" si="49"/>
        <v>20567.748384321047</v>
      </c>
      <c r="W202" s="20">
        <f t="shared" si="50"/>
        <v>4342.6540186023667</v>
      </c>
      <c r="X202" s="35">
        <f t="shared" si="51"/>
        <v>21126.424955362865</v>
      </c>
      <c r="Y202" s="35">
        <f t="shared" si="52"/>
        <v>14084.283303575243</v>
      </c>
    </row>
    <row r="203" spans="1:25" x14ac:dyDescent="0.35">
      <c r="A203" t="str">
        <f t="shared" si="53"/>
        <v>CD92</v>
      </c>
      <c r="B203" t="s">
        <v>417</v>
      </c>
      <c r="C203" t="s">
        <v>418</v>
      </c>
      <c r="E203">
        <v>1</v>
      </c>
      <c r="F203">
        <v>345775.33874033572</v>
      </c>
      <c r="G203">
        <v>118644.9489583203</v>
      </c>
      <c r="H203">
        <v>0</v>
      </c>
      <c r="I203">
        <v>0</v>
      </c>
      <c r="J203">
        <v>0</v>
      </c>
      <c r="K203">
        <v>0</v>
      </c>
      <c r="L203">
        <v>345775.33874033572</v>
      </c>
      <c r="M203">
        <f t="shared" si="54"/>
        <v>0.33699999999999997</v>
      </c>
      <c r="N203" s="19">
        <f t="shared" si="55"/>
        <v>116526.28915549313</v>
      </c>
      <c r="O203" s="19">
        <f t="shared" si="42"/>
        <v>116526.28915549313</v>
      </c>
      <c r="P203" s="22">
        <f t="shared" si="43"/>
        <v>0</v>
      </c>
      <c r="Q203" s="23">
        <f t="shared" si="44"/>
        <v>0</v>
      </c>
      <c r="R203" s="23">
        <f t="shared" si="45"/>
        <v>0</v>
      </c>
      <c r="S203" s="23">
        <f t="shared" si="46"/>
        <v>116526.28915549313</v>
      </c>
      <c r="T203" s="37">
        <f t="shared" si="47"/>
        <v>0</v>
      </c>
      <c r="U203" s="20">
        <f t="shared" si="48"/>
        <v>55932.618794636699</v>
      </c>
      <c r="V203" s="20">
        <f t="shared" si="49"/>
        <v>60593.670360856428</v>
      </c>
      <c r="W203" s="20">
        <f t="shared" si="50"/>
        <v>12793.687533392422</v>
      </c>
      <c r="X203" s="35">
        <f t="shared" si="51"/>
        <v>62239.560973260428</v>
      </c>
      <c r="Y203" s="35">
        <f t="shared" si="52"/>
        <v>41493.040648840288</v>
      </c>
    </row>
    <row r="204" spans="1:25" x14ac:dyDescent="0.35">
      <c r="A204" t="str">
        <f t="shared" si="53"/>
        <v>CD92</v>
      </c>
      <c r="B204" t="s">
        <v>419</v>
      </c>
      <c r="C204" t="s">
        <v>420</v>
      </c>
      <c r="E204">
        <v>1</v>
      </c>
      <c r="F204">
        <v>229829.73270043996</v>
      </c>
      <c r="G204">
        <v>78860.849373140052</v>
      </c>
      <c r="H204">
        <v>0</v>
      </c>
      <c r="I204">
        <v>0</v>
      </c>
      <c r="J204">
        <v>0</v>
      </c>
      <c r="K204">
        <v>0</v>
      </c>
      <c r="L204">
        <v>229829.73270043996</v>
      </c>
      <c r="M204">
        <f t="shared" si="54"/>
        <v>0.33699999999999997</v>
      </c>
      <c r="N204" s="19">
        <f t="shared" si="55"/>
        <v>77452.619920048252</v>
      </c>
      <c r="O204" s="19">
        <f t="shared" si="42"/>
        <v>77452.619920048252</v>
      </c>
      <c r="P204" s="22">
        <f t="shared" si="43"/>
        <v>0</v>
      </c>
      <c r="Q204" s="23">
        <f t="shared" si="44"/>
        <v>0</v>
      </c>
      <c r="R204" s="23">
        <f t="shared" si="45"/>
        <v>0</v>
      </c>
      <c r="S204" s="23">
        <f t="shared" si="46"/>
        <v>77452.619920048252</v>
      </c>
      <c r="T204" s="37">
        <f t="shared" si="47"/>
        <v>0</v>
      </c>
      <c r="U204" s="20">
        <f t="shared" si="48"/>
        <v>37177.257561623162</v>
      </c>
      <c r="V204" s="20">
        <f t="shared" si="49"/>
        <v>40275.362358425089</v>
      </c>
      <c r="W204" s="20">
        <f t="shared" si="50"/>
        <v>8503.7001099162771</v>
      </c>
      <c r="X204" s="35">
        <f t="shared" si="51"/>
        <v>41369.351886079188</v>
      </c>
      <c r="Y204" s="35">
        <f t="shared" si="52"/>
        <v>27579.567924052793</v>
      </c>
    </row>
    <row r="205" spans="1:25" x14ac:dyDescent="0.35">
      <c r="A205" t="str">
        <f t="shared" si="53"/>
        <v>CD92</v>
      </c>
      <c r="B205" t="s">
        <v>421</v>
      </c>
      <c r="C205" t="s">
        <v>422</v>
      </c>
      <c r="E205">
        <v>1</v>
      </c>
      <c r="F205">
        <v>143447.74239673658</v>
      </c>
      <c r="G205">
        <v>49220.8326274766</v>
      </c>
      <c r="H205">
        <v>0</v>
      </c>
      <c r="I205">
        <v>0</v>
      </c>
      <c r="J205">
        <v>0</v>
      </c>
      <c r="K205">
        <v>0</v>
      </c>
      <c r="L205">
        <v>143447.74239673658</v>
      </c>
      <c r="M205">
        <f t="shared" si="54"/>
        <v>0.33699999999999997</v>
      </c>
      <c r="N205" s="19">
        <f t="shared" si="55"/>
        <v>48341.889187700224</v>
      </c>
      <c r="O205" s="19">
        <f t="shared" si="42"/>
        <v>48341.889187700224</v>
      </c>
      <c r="P205" s="22">
        <f t="shared" si="43"/>
        <v>0</v>
      </c>
      <c r="Q205" s="23">
        <f t="shared" si="44"/>
        <v>0</v>
      </c>
      <c r="R205" s="23">
        <f t="shared" si="45"/>
        <v>0</v>
      </c>
      <c r="S205" s="23">
        <f t="shared" si="46"/>
        <v>48341.889187700224</v>
      </c>
      <c r="T205" s="37">
        <f t="shared" si="47"/>
        <v>0</v>
      </c>
      <c r="U205" s="20">
        <f t="shared" si="48"/>
        <v>23204.106810096106</v>
      </c>
      <c r="V205" s="20">
        <f t="shared" si="49"/>
        <v>25137.782377604119</v>
      </c>
      <c r="W205" s="20">
        <f t="shared" si="50"/>
        <v>5307.5664686792534</v>
      </c>
      <c r="X205" s="35">
        <f t="shared" si="51"/>
        <v>25820.593631412583</v>
      </c>
      <c r="Y205" s="35">
        <f t="shared" si="52"/>
        <v>17213.72908760839</v>
      </c>
    </row>
    <row r="206" spans="1:25" x14ac:dyDescent="0.35">
      <c r="A206" t="str">
        <f t="shared" si="53"/>
        <v>CD92</v>
      </c>
      <c r="B206" t="s">
        <v>423</v>
      </c>
      <c r="C206" t="s">
        <v>424</v>
      </c>
      <c r="E206">
        <v>1</v>
      </c>
      <c r="F206">
        <v>147803.66833966938</v>
      </c>
      <c r="G206">
        <v>50715.469616477101</v>
      </c>
      <c r="H206">
        <v>0</v>
      </c>
      <c r="I206">
        <v>0</v>
      </c>
      <c r="J206">
        <v>0</v>
      </c>
      <c r="K206">
        <v>0</v>
      </c>
      <c r="L206">
        <v>147803.66833966938</v>
      </c>
      <c r="M206">
        <f t="shared" si="54"/>
        <v>0.33699999999999997</v>
      </c>
      <c r="N206" s="19">
        <f t="shared" si="55"/>
        <v>49809.83623046858</v>
      </c>
      <c r="O206" s="19">
        <f t="shared" si="42"/>
        <v>49809.83623046858</v>
      </c>
      <c r="P206" s="22">
        <f t="shared" si="43"/>
        <v>0</v>
      </c>
      <c r="Q206" s="23">
        <f t="shared" si="44"/>
        <v>0</v>
      </c>
      <c r="R206" s="23">
        <f t="shared" si="45"/>
        <v>0</v>
      </c>
      <c r="S206" s="23">
        <f t="shared" si="46"/>
        <v>49809.83623046858</v>
      </c>
      <c r="T206" s="37">
        <f t="shared" si="47"/>
        <v>0</v>
      </c>
      <c r="U206" s="20">
        <f t="shared" si="48"/>
        <v>23908.721390624916</v>
      </c>
      <c r="V206" s="20">
        <f t="shared" si="49"/>
        <v>25901.114839843664</v>
      </c>
      <c r="W206" s="20">
        <f t="shared" si="50"/>
        <v>5468.7357285677672</v>
      </c>
      <c r="X206" s="35">
        <f t="shared" si="51"/>
        <v>26604.660301140488</v>
      </c>
      <c r="Y206" s="35">
        <f t="shared" si="52"/>
        <v>17736.440200760324</v>
      </c>
    </row>
    <row r="207" spans="1:25" x14ac:dyDescent="0.35">
      <c r="A207" t="str">
        <f t="shared" si="53"/>
        <v>CD92</v>
      </c>
      <c r="B207" t="s">
        <v>425</v>
      </c>
      <c r="C207" t="s">
        <v>426</v>
      </c>
      <c r="E207">
        <v>1</v>
      </c>
      <c r="F207">
        <v>167946.12316859598</v>
      </c>
      <c r="G207">
        <v>57626.895207958973</v>
      </c>
      <c r="H207">
        <v>0</v>
      </c>
      <c r="I207">
        <v>0</v>
      </c>
      <c r="J207">
        <v>0</v>
      </c>
      <c r="K207">
        <v>0</v>
      </c>
      <c r="L207">
        <v>167946.12316859598</v>
      </c>
      <c r="M207">
        <f t="shared" si="54"/>
        <v>0.33699999999999997</v>
      </c>
      <c r="N207" s="19">
        <f t="shared" si="55"/>
        <v>56597.84350781684</v>
      </c>
      <c r="O207" s="19">
        <f t="shared" si="42"/>
        <v>56597.84350781684</v>
      </c>
      <c r="P207" s="22">
        <f t="shared" si="43"/>
        <v>0</v>
      </c>
      <c r="Q207" s="23">
        <f t="shared" si="44"/>
        <v>0</v>
      </c>
      <c r="R207" s="23">
        <f t="shared" si="45"/>
        <v>0</v>
      </c>
      <c r="S207" s="23">
        <f t="shared" si="46"/>
        <v>56597.84350781684</v>
      </c>
      <c r="T207" s="37">
        <f t="shared" si="47"/>
        <v>0</v>
      </c>
      <c r="U207" s="20">
        <f t="shared" si="48"/>
        <v>27166.964883752084</v>
      </c>
      <c r="V207" s="20">
        <f t="shared" si="49"/>
        <v>29430.878624064757</v>
      </c>
      <c r="W207" s="20">
        <f t="shared" si="50"/>
        <v>6214.0065572380508</v>
      </c>
      <c r="X207" s="35">
        <f t="shared" si="51"/>
        <v>30230.302170347277</v>
      </c>
      <c r="Y207" s="35">
        <f t="shared" si="52"/>
        <v>20153.534780231515</v>
      </c>
    </row>
    <row r="208" spans="1:25" x14ac:dyDescent="0.35">
      <c r="A208" t="str">
        <f t="shared" si="53"/>
        <v>CD92</v>
      </c>
      <c r="B208" t="s">
        <v>427</v>
      </c>
      <c r="C208" t="s">
        <v>428</v>
      </c>
      <c r="E208">
        <v>1</v>
      </c>
      <c r="F208">
        <v>139421.6531545</v>
      </c>
      <c r="G208">
        <v>47839.371606031345</v>
      </c>
      <c r="H208">
        <v>0</v>
      </c>
      <c r="I208">
        <v>0</v>
      </c>
      <c r="J208">
        <v>0</v>
      </c>
      <c r="K208">
        <v>0</v>
      </c>
      <c r="L208">
        <v>139421.6531545</v>
      </c>
      <c r="M208">
        <f t="shared" si="54"/>
        <v>0.33699999999999997</v>
      </c>
      <c r="N208" s="19">
        <f t="shared" si="55"/>
        <v>46985.097113066498</v>
      </c>
      <c r="O208" s="19">
        <f t="shared" si="42"/>
        <v>46985.097113066498</v>
      </c>
      <c r="P208" s="22">
        <f t="shared" si="43"/>
        <v>0</v>
      </c>
      <c r="Q208" s="23">
        <f t="shared" si="44"/>
        <v>0</v>
      </c>
      <c r="R208" s="23">
        <f t="shared" si="45"/>
        <v>0</v>
      </c>
      <c r="S208" s="23">
        <f t="shared" si="46"/>
        <v>46985.097113066498</v>
      </c>
      <c r="T208" s="37">
        <f t="shared" si="47"/>
        <v>0</v>
      </c>
      <c r="U208" s="20">
        <f t="shared" si="48"/>
        <v>22552.846614271919</v>
      </c>
      <c r="V208" s="20">
        <f t="shared" si="49"/>
        <v>24432.250498794579</v>
      </c>
      <c r="W208" s="20">
        <f t="shared" si="50"/>
        <v>5158.6011667165003</v>
      </c>
      <c r="X208" s="35">
        <f t="shared" si="51"/>
        <v>25095.89756781</v>
      </c>
      <c r="Y208" s="35">
        <f t="shared" si="52"/>
        <v>16730.598378539999</v>
      </c>
    </row>
    <row r="209" spans="1:25" x14ac:dyDescent="0.35">
      <c r="A209" t="str">
        <f t="shared" si="53"/>
        <v>CD92</v>
      </c>
      <c r="B209" t="s">
        <v>429</v>
      </c>
      <c r="C209" t="s">
        <v>430</v>
      </c>
      <c r="E209">
        <v>1</v>
      </c>
      <c r="F209">
        <v>138121.5201401051</v>
      </c>
      <c r="G209">
        <v>47393.260510619337</v>
      </c>
      <c r="H209">
        <v>0</v>
      </c>
      <c r="I209">
        <v>0</v>
      </c>
      <c r="J209">
        <v>0</v>
      </c>
      <c r="K209">
        <v>0</v>
      </c>
      <c r="L209">
        <v>138121.5201401051</v>
      </c>
      <c r="M209">
        <f t="shared" si="54"/>
        <v>0.33699999999999997</v>
      </c>
      <c r="N209" s="19">
        <f t="shared" si="55"/>
        <v>46546.952287215412</v>
      </c>
      <c r="O209" s="19">
        <f t="shared" si="42"/>
        <v>46546.952287215412</v>
      </c>
      <c r="P209" s="22">
        <f t="shared" si="43"/>
        <v>0</v>
      </c>
      <c r="Q209" s="23">
        <f t="shared" si="44"/>
        <v>0</v>
      </c>
      <c r="R209" s="23">
        <f t="shared" si="45"/>
        <v>0</v>
      </c>
      <c r="S209" s="23">
        <f t="shared" si="46"/>
        <v>46546.952287215412</v>
      </c>
      <c r="T209" s="37">
        <f t="shared" si="47"/>
        <v>0</v>
      </c>
      <c r="U209" s="20">
        <f t="shared" si="48"/>
        <v>22342.537097863398</v>
      </c>
      <c r="V209" s="20">
        <f t="shared" si="49"/>
        <v>24204.415189352014</v>
      </c>
      <c r="W209" s="20">
        <f t="shared" si="50"/>
        <v>5110.4962451838883</v>
      </c>
      <c r="X209" s="35">
        <f t="shared" si="51"/>
        <v>24861.873625218919</v>
      </c>
      <c r="Y209" s="35">
        <f t="shared" si="52"/>
        <v>16574.582416812613</v>
      </c>
    </row>
  </sheetData>
  <sortState xmlns:xlrd2="http://schemas.microsoft.com/office/spreadsheetml/2017/richdata2" ref="B2:V209">
    <sortCondition ref="C1:C20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2ADF-9165-445E-8E94-1F1A858FC3C4}">
  <dimension ref="A1:I27"/>
  <sheetViews>
    <sheetView workbookViewId="0">
      <selection activeCell="M5" sqref="M5"/>
    </sheetView>
  </sheetViews>
  <sheetFormatPr defaultRowHeight="14.5" x14ac:dyDescent="0.35"/>
  <sheetData>
    <row r="1" spans="1:9" x14ac:dyDescent="0.35">
      <c r="A1" s="30" t="s">
        <v>776</v>
      </c>
      <c r="B1" s="24" t="s">
        <v>772</v>
      </c>
      <c r="C1" s="24" t="s">
        <v>773</v>
      </c>
      <c r="D1" s="24" t="s">
        <v>774</v>
      </c>
      <c r="E1" s="24" t="s">
        <v>775</v>
      </c>
      <c r="F1" s="25" t="s">
        <v>772</v>
      </c>
      <c r="G1" s="25" t="s">
        <v>773</v>
      </c>
      <c r="H1" s="25" t="s">
        <v>774</v>
      </c>
      <c r="I1" s="25" t="s">
        <v>775</v>
      </c>
    </row>
    <row r="2" spans="1:9" x14ac:dyDescent="0.35">
      <c r="A2" t="s">
        <v>777</v>
      </c>
      <c r="B2" s="26">
        <v>0.17100000000000001</v>
      </c>
      <c r="C2" s="26">
        <v>0.13500000000000001</v>
      </c>
      <c r="D2" s="26">
        <v>8.3000000000000004E-2</v>
      </c>
      <c r="E2" s="27">
        <f t="shared" ref="E2:E27" si="0">(D2/5)*3</f>
        <v>4.9799999999999997E-2</v>
      </c>
      <c r="F2" s="28">
        <v>0.17300000000000001</v>
      </c>
      <c r="G2" s="28">
        <v>0.13699999999999998</v>
      </c>
      <c r="H2" s="28">
        <v>8.3000000000000004E-2</v>
      </c>
      <c r="I2" s="29">
        <f t="shared" ref="I2:I27" si="1">(H2/5)*3</f>
        <v>4.9799999999999997E-2</v>
      </c>
    </row>
    <row r="3" spans="1:9" x14ac:dyDescent="0.35">
      <c r="A3" t="s">
        <v>778</v>
      </c>
      <c r="B3" s="26">
        <v>0.17</v>
      </c>
      <c r="C3" s="26">
        <v>0.14099999999999999</v>
      </c>
      <c r="D3" s="26">
        <v>0.10199999999999999</v>
      </c>
      <c r="E3" s="27">
        <f t="shared" si="0"/>
        <v>6.1199999999999991E-2</v>
      </c>
      <c r="F3" s="28">
        <v>0.16500000000000001</v>
      </c>
      <c r="G3" s="28">
        <v>0.13600000000000001</v>
      </c>
      <c r="H3" s="28">
        <v>9.6000000000000002E-2</v>
      </c>
      <c r="I3" s="29">
        <f t="shared" si="1"/>
        <v>5.7600000000000005E-2</v>
      </c>
    </row>
    <row r="4" spans="1:9" x14ac:dyDescent="0.35">
      <c r="A4" t="s">
        <v>779</v>
      </c>
      <c r="B4" s="27">
        <v>0.16</v>
      </c>
      <c r="C4" s="27">
        <v>0.13500000000000001</v>
      </c>
      <c r="D4" s="27">
        <v>0.106</v>
      </c>
      <c r="E4" s="27">
        <f t="shared" si="0"/>
        <v>6.3600000000000004E-2</v>
      </c>
      <c r="F4" s="28">
        <v>0.155</v>
      </c>
      <c r="G4" s="28">
        <v>0.128</v>
      </c>
      <c r="H4" s="28">
        <v>9.9000000000000005E-2</v>
      </c>
      <c r="I4" s="29">
        <f t="shared" si="1"/>
        <v>5.9400000000000008E-2</v>
      </c>
    </row>
    <row r="5" spans="1:9" x14ac:dyDescent="0.35">
      <c r="A5" t="s">
        <v>780</v>
      </c>
      <c r="B5" s="26">
        <v>0.16</v>
      </c>
      <c r="C5" s="26">
        <v>0.13500000000000001</v>
      </c>
      <c r="D5" s="26">
        <v>0.105</v>
      </c>
      <c r="E5" s="27">
        <f t="shared" si="0"/>
        <v>6.3E-2</v>
      </c>
      <c r="F5" s="28">
        <v>0.155</v>
      </c>
      <c r="G5" s="28">
        <v>0.128</v>
      </c>
      <c r="H5" s="28">
        <v>9.9000000000000005E-2</v>
      </c>
      <c r="I5" s="29">
        <f t="shared" si="1"/>
        <v>5.9400000000000008E-2</v>
      </c>
    </row>
    <row r="6" spans="1:9" x14ac:dyDescent="0.35">
      <c r="A6" t="s">
        <v>781</v>
      </c>
      <c r="B6" s="27">
        <v>0.16</v>
      </c>
      <c r="C6" s="27">
        <v>0.13500000000000001</v>
      </c>
      <c r="D6" s="27">
        <v>0.105</v>
      </c>
      <c r="E6" s="27">
        <f t="shared" si="0"/>
        <v>6.3E-2</v>
      </c>
      <c r="F6" s="28">
        <v>0.155</v>
      </c>
      <c r="G6" s="28">
        <v>0.128</v>
      </c>
      <c r="H6" s="28">
        <v>9.9000000000000005E-2</v>
      </c>
      <c r="I6" s="29">
        <f t="shared" si="1"/>
        <v>5.9400000000000008E-2</v>
      </c>
    </row>
    <row r="7" spans="1:9" x14ac:dyDescent="0.35">
      <c r="A7" s="31" t="s">
        <v>782</v>
      </c>
      <c r="B7" s="27">
        <v>0.15</v>
      </c>
      <c r="C7" s="27">
        <v>0.126</v>
      </c>
      <c r="D7" s="27">
        <v>0.11199999999999999</v>
      </c>
      <c r="E7" s="27">
        <f t="shared" si="0"/>
        <v>6.7199999999999982E-2</v>
      </c>
      <c r="F7" s="28">
        <v>0.14499999999999999</v>
      </c>
      <c r="G7" s="28">
        <v>0.122</v>
      </c>
      <c r="H7" s="28">
        <v>0.107</v>
      </c>
      <c r="I7" s="29">
        <f t="shared" si="1"/>
        <v>6.4199999999999993E-2</v>
      </c>
    </row>
    <row r="8" spans="1:9" x14ac:dyDescent="0.35">
      <c r="A8" t="s">
        <v>783</v>
      </c>
      <c r="B8" s="26">
        <v>0.15</v>
      </c>
      <c r="C8" s="26">
        <v>0.126</v>
      </c>
      <c r="D8" s="26">
        <v>0.111</v>
      </c>
      <c r="E8" s="27">
        <f t="shared" si="0"/>
        <v>6.6600000000000006E-2</v>
      </c>
      <c r="F8" s="28">
        <v>0.14499999999999999</v>
      </c>
      <c r="G8" s="28">
        <v>0.122</v>
      </c>
      <c r="H8" s="28">
        <v>0.107</v>
      </c>
      <c r="I8" s="29">
        <f t="shared" si="1"/>
        <v>6.4199999999999993E-2</v>
      </c>
    </row>
    <row r="9" spans="1:9" x14ac:dyDescent="0.35">
      <c r="A9" t="s">
        <v>784</v>
      </c>
      <c r="B9" s="26">
        <v>0.15</v>
      </c>
      <c r="C9" s="26">
        <v>0.125</v>
      </c>
      <c r="D9" s="26">
        <v>0.111</v>
      </c>
      <c r="E9" s="27">
        <f t="shared" si="0"/>
        <v>6.6600000000000006E-2</v>
      </c>
      <c r="F9" s="28">
        <v>0.14499999999999999</v>
      </c>
      <c r="G9" s="28">
        <v>0.122</v>
      </c>
      <c r="H9" s="28">
        <v>0.107</v>
      </c>
      <c r="I9" s="29">
        <f t="shared" si="1"/>
        <v>6.4199999999999993E-2</v>
      </c>
    </row>
    <row r="10" spans="1:9" x14ac:dyDescent="0.35">
      <c r="A10" t="s">
        <v>785</v>
      </c>
      <c r="B10" s="27">
        <v>0.15</v>
      </c>
      <c r="C10" s="27">
        <v>0.126</v>
      </c>
      <c r="D10" s="27">
        <v>0.111</v>
      </c>
      <c r="E10" s="27">
        <f t="shared" si="0"/>
        <v>6.6600000000000006E-2</v>
      </c>
      <c r="F10" s="28">
        <v>0.14400000000000002</v>
      </c>
      <c r="G10" s="28">
        <v>0.122</v>
      </c>
      <c r="H10" s="28">
        <v>0.107</v>
      </c>
      <c r="I10" s="29">
        <f t="shared" si="1"/>
        <v>6.4199999999999993E-2</v>
      </c>
    </row>
    <row r="11" spans="1:9" x14ac:dyDescent="0.35">
      <c r="A11" t="s">
        <v>786</v>
      </c>
      <c r="B11" s="27">
        <v>0.15</v>
      </c>
      <c r="C11" s="27">
        <v>0.126</v>
      </c>
      <c r="D11" s="27">
        <v>0.111</v>
      </c>
      <c r="E11" s="27">
        <f t="shared" si="0"/>
        <v>6.6600000000000006E-2</v>
      </c>
      <c r="F11" s="28">
        <v>0.14499999999999999</v>
      </c>
      <c r="G11" s="28">
        <v>0.122</v>
      </c>
      <c r="H11" s="28">
        <v>0.107</v>
      </c>
      <c r="I11" s="29">
        <f t="shared" si="1"/>
        <v>6.4199999999999993E-2</v>
      </c>
    </row>
    <row r="12" spans="1:9" x14ac:dyDescent="0.35">
      <c r="A12" t="s">
        <v>787</v>
      </c>
      <c r="B12" s="26">
        <v>0.13400000000000001</v>
      </c>
      <c r="C12" s="26">
        <v>0.11800000000000001</v>
      </c>
      <c r="D12" s="26">
        <v>0.11199999999999999</v>
      </c>
      <c r="E12" s="27">
        <f t="shared" si="0"/>
        <v>6.7199999999999982E-2</v>
      </c>
      <c r="F12" s="28">
        <v>0.128</v>
      </c>
      <c r="G12" s="28">
        <v>0.11199999999999999</v>
      </c>
      <c r="H12" s="28">
        <v>0.10800000000000001</v>
      </c>
      <c r="I12" s="29">
        <f t="shared" si="1"/>
        <v>6.4799999999999996E-2</v>
      </c>
    </row>
    <row r="13" spans="1:9" x14ac:dyDescent="0.35">
      <c r="A13" t="s">
        <v>788</v>
      </c>
      <c r="B13" s="27">
        <v>0.13400000000000001</v>
      </c>
      <c r="C13" s="27">
        <v>0.11900000000000001</v>
      </c>
      <c r="D13" s="27">
        <v>0.11199999999999999</v>
      </c>
      <c r="E13" s="27">
        <f t="shared" si="0"/>
        <v>6.7199999999999982E-2</v>
      </c>
      <c r="F13" s="28">
        <v>0.127</v>
      </c>
      <c r="G13" s="28">
        <v>0.11199999999999999</v>
      </c>
      <c r="H13" s="28">
        <v>0.10800000000000001</v>
      </c>
      <c r="I13" s="29">
        <f t="shared" si="1"/>
        <v>6.4799999999999996E-2</v>
      </c>
    </row>
    <row r="14" spans="1:9" x14ac:dyDescent="0.35">
      <c r="A14" s="32" t="s">
        <v>789</v>
      </c>
      <c r="B14" s="33">
        <v>0.13400000000000001</v>
      </c>
      <c r="C14" s="33">
        <v>0.11900000000000001</v>
      </c>
      <c r="D14" s="33">
        <v>0.11199999999999999</v>
      </c>
      <c r="E14" s="33">
        <f t="shared" si="0"/>
        <v>6.7199999999999982E-2</v>
      </c>
      <c r="F14" s="28">
        <v>0.127</v>
      </c>
      <c r="G14" s="28">
        <v>0.11199999999999999</v>
      </c>
      <c r="H14" s="28">
        <v>0.10800000000000001</v>
      </c>
      <c r="I14" s="29">
        <f t="shared" si="1"/>
        <v>6.4799999999999996E-2</v>
      </c>
    </row>
    <row r="15" spans="1:9" x14ac:dyDescent="0.35">
      <c r="A15" t="s">
        <v>790</v>
      </c>
      <c r="B15" s="26">
        <v>0.13400000000000001</v>
      </c>
      <c r="C15" s="26">
        <v>0.11800000000000001</v>
      </c>
      <c r="D15" s="26">
        <v>0.11199999999999999</v>
      </c>
      <c r="E15" s="27">
        <f t="shared" si="0"/>
        <v>6.7199999999999982E-2</v>
      </c>
      <c r="F15" s="28">
        <v>0.128</v>
      </c>
      <c r="G15" s="28">
        <v>0.11199999999999999</v>
      </c>
      <c r="H15" s="28">
        <v>0.10800000000000001</v>
      </c>
      <c r="I15" s="29">
        <f t="shared" si="1"/>
        <v>6.4799999999999996E-2</v>
      </c>
    </row>
    <row r="16" spans="1:9" x14ac:dyDescent="0.35">
      <c r="A16" t="s">
        <v>791</v>
      </c>
      <c r="B16" s="26">
        <v>0.157</v>
      </c>
      <c r="C16" s="26">
        <v>0.129</v>
      </c>
      <c r="D16" s="26">
        <v>0.105</v>
      </c>
      <c r="E16" s="27">
        <f t="shared" si="0"/>
        <v>6.3E-2</v>
      </c>
      <c r="F16" s="28">
        <v>0.14699999999999999</v>
      </c>
      <c r="G16" s="28">
        <v>0.126</v>
      </c>
      <c r="H16" s="28">
        <v>0.10400000000000001</v>
      </c>
      <c r="I16" s="29">
        <f t="shared" si="1"/>
        <v>6.2400000000000011E-2</v>
      </c>
    </row>
    <row r="17" spans="1:9" x14ac:dyDescent="0.35">
      <c r="A17" t="s">
        <v>792</v>
      </c>
      <c r="B17" s="26">
        <v>0.14599999999999999</v>
      </c>
      <c r="C17" s="26">
        <v>0.11699999999999999</v>
      </c>
      <c r="D17" s="26">
        <v>0.11599999999999999</v>
      </c>
      <c r="E17" s="27">
        <f t="shared" si="0"/>
        <v>6.9599999999999995E-2</v>
      </c>
      <c r="F17" s="28">
        <v>0.14599999999999999</v>
      </c>
      <c r="G17" s="28">
        <v>0.115</v>
      </c>
      <c r="H17" s="28">
        <v>0.11</v>
      </c>
      <c r="I17" s="29">
        <f t="shared" si="1"/>
        <v>6.6000000000000003E-2</v>
      </c>
    </row>
    <row r="18" spans="1:9" x14ac:dyDescent="0.35">
      <c r="A18" t="s">
        <v>793</v>
      </c>
      <c r="B18" s="26">
        <v>0.152</v>
      </c>
      <c r="C18" s="26">
        <v>0.11800000000000001</v>
      </c>
      <c r="D18" s="26">
        <v>9.9000000000000005E-2</v>
      </c>
      <c r="E18" s="27">
        <f t="shared" si="0"/>
        <v>5.9400000000000008E-2</v>
      </c>
      <c r="F18" s="28">
        <v>0.13600000000000001</v>
      </c>
      <c r="G18" s="28">
        <v>0.11699999999999999</v>
      </c>
      <c r="H18" s="28">
        <v>9.1999999999999998E-2</v>
      </c>
      <c r="I18" s="29">
        <f t="shared" si="1"/>
        <v>5.5199999999999999E-2</v>
      </c>
    </row>
    <row r="19" spans="1:9" x14ac:dyDescent="0.35">
      <c r="A19" t="s">
        <v>794</v>
      </c>
      <c r="B19" s="26">
        <v>0.16899999999999998</v>
      </c>
      <c r="C19" s="26">
        <v>0.13699999999999998</v>
      </c>
      <c r="D19" s="26">
        <v>0.10400000000000001</v>
      </c>
      <c r="E19" s="27">
        <f t="shared" si="0"/>
        <v>6.2400000000000011E-2</v>
      </c>
      <c r="F19" s="28">
        <v>0.16600000000000001</v>
      </c>
      <c r="G19" s="28">
        <v>0.13400000000000001</v>
      </c>
      <c r="H19" s="28">
        <v>0.10099999999999999</v>
      </c>
      <c r="I19" s="29">
        <f t="shared" si="1"/>
        <v>6.0600000000000001E-2</v>
      </c>
    </row>
    <row r="20" spans="1:9" x14ac:dyDescent="0.35">
      <c r="A20" t="s">
        <v>795</v>
      </c>
      <c r="B20" s="26">
        <v>0.16899999999999998</v>
      </c>
      <c r="C20" s="26">
        <v>0.13699999999999998</v>
      </c>
      <c r="D20" s="26">
        <v>0.10400000000000001</v>
      </c>
      <c r="E20" s="27">
        <f t="shared" si="0"/>
        <v>6.2400000000000011E-2</v>
      </c>
      <c r="F20" s="28">
        <v>0.16600000000000001</v>
      </c>
      <c r="G20" s="28">
        <v>0.13400000000000001</v>
      </c>
      <c r="H20" s="28">
        <v>0.10099999999999999</v>
      </c>
      <c r="I20" s="29">
        <f t="shared" si="1"/>
        <v>6.0600000000000001E-2</v>
      </c>
    </row>
    <row r="21" spans="1:9" x14ac:dyDescent="0.35">
      <c r="A21" t="s">
        <v>796</v>
      </c>
      <c r="B21" s="26">
        <v>0.16899999999999998</v>
      </c>
      <c r="C21" s="26">
        <v>0.13699999999999998</v>
      </c>
      <c r="D21" s="26">
        <v>0.10400000000000001</v>
      </c>
      <c r="E21" s="27">
        <f t="shared" si="0"/>
        <v>6.2400000000000011E-2</v>
      </c>
      <c r="F21" s="28">
        <v>0.16600000000000001</v>
      </c>
      <c r="G21" s="28">
        <v>0.13400000000000001</v>
      </c>
      <c r="H21" s="28">
        <v>0.10099999999999999</v>
      </c>
      <c r="I21" s="29">
        <f t="shared" si="1"/>
        <v>6.0600000000000001E-2</v>
      </c>
    </row>
    <row r="22" spans="1:9" x14ac:dyDescent="0.35">
      <c r="A22" t="s">
        <v>797</v>
      </c>
      <c r="B22" s="26">
        <v>0.16899999999999998</v>
      </c>
      <c r="C22" s="26">
        <v>0.13699999999999998</v>
      </c>
      <c r="D22" s="26">
        <v>0.10400000000000001</v>
      </c>
      <c r="E22" s="27">
        <f t="shared" si="0"/>
        <v>6.2400000000000011E-2</v>
      </c>
      <c r="F22" s="28">
        <v>0.16600000000000001</v>
      </c>
      <c r="G22" s="28">
        <v>0.13400000000000001</v>
      </c>
      <c r="H22" s="28">
        <v>0.10099999999999999</v>
      </c>
      <c r="I22" s="29">
        <f t="shared" si="1"/>
        <v>6.0600000000000001E-2</v>
      </c>
    </row>
    <row r="23" spans="1:9" x14ac:dyDescent="0.35">
      <c r="A23" t="s">
        <v>798</v>
      </c>
      <c r="B23" s="26">
        <v>0.16300000000000001</v>
      </c>
      <c r="C23" s="26">
        <v>0.13300000000000001</v>
      </c>
      <c r="D23" s="26">
        <v>0.109</v>
      </c>
      <c r="E23" s="27">
        <f t="shared" si="0"/>
        <v>6.54E-2</v>
      </c>
      <c r="F23" s="28">
        <v>0.159</v>
      </c>
      <c r="G23" s="28">
        <v>0.129</v>
      </c>
      <c r="H23" s="28">
        <v>0.10400000000000001</v>
      </c>
      <c r="I23" s="29">
        <f t="shared" si="1"/>
        <v>6.2400000000000011E-2</v>
      </c>
    </row>
    <row r="24" spans="1:9" x14ac:dyDescent="0.35">
      <c r="A24" t="s">
        <v>799</v>
      </c>
      <c r="B24" s="26">
        <v>0.16300000000000001</v>
      </c>
      <c r="C24" s="26">
        <v>0.13300000000000001</v>
      </c>
      <c r="D24" s="26">
        <v>0.109</v>
      </c>
      <c r="E24" s="27">
        <f t="shared" si="0"/>
        <v>6.54E-2</v>
      </c>
      <c r="F24" s="28">
        <v>0.159</v>
      </c>
      <c r="G24" s="28">
        <v>0.129</v>
      </c>
      <c r="H24" s="28">
        <v>0.10400000000000001</v>
      </c>
      <c r="I24" s="29">
        <f t="shared" si="1"/>
        <v>6.2400000000000011E-2</v>
      </c>
    </row>
    <row r="25" spans="1:9" x14ac:dyDescent="0.35">
      <c r="A25" t="s">
        <v>800</v>
      </c>
      <c r="B25" s="27">
        <v>0.16300000000000001</v>
      </c>
      <c r="C25" s="27">
        <v>0.13300000000000001</v>
      </c>
      <c r="D25" s="27">
        <v>0.11</v>
      </c>
      <c r="E25" s="27">
        <f t="shared" si="0"/>
        <v>6.6000000000000003E-2</v>
      </c>
      <c r="F25" s="28">
        <v>0.159</v>
      </c>
      <c r="G25" s="28">
        <v>0.129</v>
      </c>
      <c r="H25" s="28">
        <v>0.10400000000000001</v>
      </c>
      <c r="I25" s="29">
        <f t="shared" si="1"/>
        <v>6.2400000000000011E-2</v>
      </c>
    </row>
    <row r="26" spans="1:9" x14ac:dyDescent="0.35">
      <c r="A26" t="s">
        <v>801</v>
      </c>
      <c r="B26" s="26">
        <v>0.16200000000000001</v>
      </c>
      <c r="C26" s="26">
        <v>0.13800000000000001</v>
      </c>
      <c r="D26" s="26">
        <v>0.105</v>
      </c>
      <c r="E26" s="27">
        <f t="shared" si="0"/>
        <v>6.3E-2</v>
      </c>
      <c r="F26" s="28">
        <v>0.157</v>
      </c>
      <c r="G26" s="28">
        <v>0.13200000000000001</v>
      </c>
      <c r="H26" s="28">
        <v>0.10300000000000001</v>
      </c>
      <c r="I26" s="29">
        <f t="shared" si="1"/>
        <v>6.1800000000000001E-2</v>
      </c>
    </row>
    <row r="27" spans="1:9" x14ac:dyDescent="0.35">
      <c r="A27" t="s">
        <v>802</v>
      </c>
      <c r="B27" s="26">
        <v>0.16200000000000001</v>
      </c>
      <c r="C27" s="26">
        <v>0.13800000000000001</v>
      </c>
      <c r="D27" s="26">
        <v>0.105</v>
      </c>
      <c r="E27" s="27">
        <f t="shared" si="0"/>
        <v>6.3E-2</v>
      </c>
      <c r="F27" s="28">
        <v>0.157</v>
      </c>
      <c r="G27" s="28">
        <v>0.13200000000000001</v>
      </c>
      <c r="H27" s="28">
        <v>0.10300000000000001</v>
      </c>
      <c r="I27" s="29">
        <f t="shared" si="1"/>
        <v>6.1800000000000001E-2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51FB2AFBB2DD429D3D11FE759FFC43" ma:contentTypeVersion="16" ma:contentTypeDescription="Crée un document." ma:contentTypeScope="" ma:versionID="ba4df1e163a0f99ecb9420d195062b28">
  <xsd:schema xmlns:xsd="http://www.w3.org/2001/XMLSchema" xmlns:xs="http://www.w3.org/2001/XMLSchema" xmlns:p="http://schemas.microsoft.com/office/2006/metadata/properties" xmlns:ns2="f4877444-78fa-4cfa-bafc-d6c64fafc061" xmlns:ns3="d0fa6634-326e-4532-91a2-52bea7ac9212" targetNamespace="http://schemas.microsoft.com/office/2006/metadata/properties" ma:root="true" ma:fieldsID="d702ae752a5d873593a875e6120ae37f" ns2:_="" ns3:_="">
    <xsd:import namespace="f4877444-78fa-4cfa-bafc-d6c64fafc061"/>
    <xsd:import namespace="d0fa6634-326e-4532-91a2-52bea7ac9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877444-78fa-4cfa-bafc-d6c64fafc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a6634-326e-4532-91a2-52bea7ac921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6bd4e25-e667-4943-8e38-5db701f530ee}" ma:internalName="TaxCatchAll" ma:showField="CatchAllData" ma:web="d0fa6634-326e-4532-91a2-52bea7ac92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877444-78fa-4cfa-bafc-d6c64fafc061">
      <Terms xmlns="http://schemas.microsoft.com/office/infopath/2007/PartnerControls"/>
    </lcf76f155ced4ddcb4097134ff3c332f>
    <TaxCatchAll xmlns="d0fa6634-326e-4532-91a2-52bea7ac9212" xsi:nil="true"/>
  </documentManagement>
</p:properties>
</file>

<file path=customXml/itemProps1.xml><?xml version="1.0" encoding="utf-8"?>
<ds:datastoreItem xmlns:ds="http://schemas.openxmlformats.org/officeDocument/2006/customXml" ds:itemID="{64210424-0718-419C-B4EB-EDD95BA891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7AEFBC-FF69-405C-A571-83AAACA866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877444-78fa-4cfa-bafc-d6c64fafc061"/>
    <ds:schemaRef ds:uri="d0fa6634-326e-4532-91a2-52bea7ac92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C75BA8-C5B6-4784-B149-CA42FAB1BD16}">
  <ds:schemaRefs>
    <ds:schemaRef ds:uri="http://schemas.microsoft.com/office/2006/metadata/properties"/>
    <ds:schemaRef ds:uri="http://schemas.microsoft.com/office/infopath/2007/PartnerControls"/>
    <ds:schemaRef ds:uri="b5940141-1bc9-4c17-b1bc-e50f6b2083d6"/>
    <ds:schemaRef ds:uri="f4877444-78fa-4cfa-bafc-d6c64fafc061"/>
    <ds:schemaRef ds:uri="d0fa6634-326e-4532-91a2-52bea7ac92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ocha</vt:lpstr>
      <vt:lpstr>scope-fix</vt:lpstr>
      <vt:lpstr>Sheet1</vt:lpstr>
      <vt:lpstr>calculation_pop</vt:lpstr>
      <vt:lpstr>ratio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VIT</dc:creator>
  <cp:keywords/>
  <dc:description/>
  <cp:lastModifiedBy>Marie-Amandine GRAND</cp:lastModifiedBy>
  <cp:revision/>
  <dcterms:created xsi:type="dcterms:W3CDTF">2024-07-16T12:05:48Z</dcterms:created>
  <dcterms:modified xsi:type="dcterms:W3CDTF">2025-10-01T07:16:26Z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0x010100DE51FB2AFBB2DD429D3D11FE759FFC43</vt:lpwstr>
  </property>
  <property fmtid="{D5CDD505-2E9C-101B-9397-08002B2CF9AE}" pid="3" name="MediaServiceImageTags">
    <vt:lpwstr/>
  </property>
</Properties>
</file>